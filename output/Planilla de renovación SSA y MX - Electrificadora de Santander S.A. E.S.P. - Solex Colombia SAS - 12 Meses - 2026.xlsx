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0" autoFilterDateGrouping="1"/>
  </bookViews>
  <sheets>
    <sheet name="SBid " sheetId="1" state="visible" r:id="rId1"/>
    <sheet name="Factsheet" sheetId="2" state="visible" r:id="rId2"/>
  </sheets>
  <definedNames/>
  <calcPr calcId="191029" fullCalcOnLoad="1"/>
</workbook>
</file>

<file path=xl/styles.xml><?xml version="1.0" encoding="utf-8"?>
<styleSheet xmlns="http://schemas.openxmlformats.org/spreadsheetml/2006/main">
  <numFmts count="6">
    <numFmt numFmtId="164" formatCode="#,##0.0000"/>
    <numFmt numFmtId="165" formatCode="#,##0.00000"/>
    <numFmt numFmtId="166" formatCode="0.0%"/>
    <numFmt numFmtId="167" formatCode="[$-409]dd\-mmm\-yy;@"/>
    <numFmt numFmtId="168" formatCode="#,##0.000000"/>
    <numFmt numFmtId="169" formatCode="[$-409]d\-mmm\-yyyy;@"/>
  </numFmts>
  <fonts count="38">
    <font>
      <name val="Arial"/>
      <sz val="12"/>
    </font>
    <font>
      <name val="Arial"/>
      <family val="2"/>
      <sz val="12"/>
    </font>
    <font>
      <name val="Arial"/>
      <family val="2"/>
      <b val="1"/>
      <sz val="12"/>
    </font>
    <font>
      <name val="Arial"/>
      <family val="2"/>
      <sz val="12"/>
    </font>
    <font>
      <name val="Arial"/>
      <family val="2"/>
      <b val="1"/>
      <color indexed="17"/>
      <sz val="12"/>
    </font>
    <font>
      <name val="Arial"/>
      <family val="2"/>
      <b val="1"/>
      <color indexed="12"/>
      <sz val="12"/>
    </font>
    <font>
      <name val="Arial"/>
      <family val="2"/>
      <b val="1"/>
      <color indexed="8"/>
      <sz val="12"/>
    </font>
    <font>
      <name val="Arial"/>
      <family val="2"/>
      <color indexed="29"/>
      <sz val="10"/>
    </font>
    <font>
      <name val="Arial"/>
      <family val="2"/>
      <b val="1"/>
      <color indexed="18"/>
      <sz val="12"/>
      <u val="single"/>
    </font>
    <font>
      <name val="Arial"/>
      <family val="2"/>
      <b val="1"/>
      <color indexed="10"/>
      <sz val="12"/>
    </font>
    <font>
      <name val="Arial"/>
      <family val="2"/>
      <i val="1"/>
      <color indexed="16"/>
      <sz val="10"/>
    </font>
    <font>
      <name val="Arial"/>
      <family val="2"/>
      <color indexed="8"/>
      <sz val="12"/>
    </font>
    <font>
      <name val="Arial"/>
      <family val="2"/>
      <b val="1"/>
      <color indexed="17"/>
      <sz val="14"/>
    </font>
    <font>
      <name val="Arial Narrow"/>
      <family val="2"/>
      <color indexed="8"/>
      <sz val="11"/>
    </font>
    <font>
      <name val="Arial Narrow"/>
      <family val="2"/>
      <sz val="11"/>
    </font>
    <font>
      <name val="Arial Narrow"/>
      <family val="2"/>
      <color indexed="10"/>
      <sz val="12"/>
    </font>
    <font>
      <name val="Arial"/>
      <family val="2"/>
      <sz val="12"/>
    </font>
    <font>
      <name val="Arial"/>
      <family val="2"/>
      <sz val="8"/>
    </font>
    <font>
      <name val="Arial"/>
      <family val="2"/>
      <b val="1"/>
      <color indexed="8"/>
      <sz val="10"/>
    </font>
    <font>
      <name val="Arial Black"/>
      <family val="2"/>
      <sz val="12"/>
    </font>
    <font>
      <name val="Arial Black"/>
      <family val="2"/>
      <color indexed="8"/>
      <sz val="12"/>
    </font>
    <font>
      <name val="Arial Black"/>
      <family val="2"/>
      <b val="1"/>
      <color indexed="8"/>
      <sz val="12"/>
    </font>
    <font>
      <name val="Arial Black"/>
      <family val="2"/>
      <b val="1"/>
      <sz val="12"/>
    </font>
    <font>
      <name val="Arial Black"/>
      <family val="2"/>
      <b val="1"/>
      <color indexed="10"/>
      <sz val="12"/>
    </font>
    <font>
      <name val="Arial Black"/>
      <family val="2"/>
      <i val="1"/>
      <sz val="12"/>
    </font>
    <font>
      <name val="Calibri"/>
      <family val="2"/>
      <color theme="1"/>
      <sz val="11"/>
      <scheme val="minor"/>
    </font>
    <font>
      <name val="Arial Black"/>
      <family val="2"/>
      <color theme="1"/>
      <sz val="11"/>
    </font>
    <font>
      <name val="Arial Black"/>
      <family val="2"/>
      <b val="1"/>
      <color theme="1"/>
      <sz val="18"/>
    </font>
    <font>
      <name val="Arial Black"/>
      <family val="2"/>
      <color theme="1"/>
      <sz val="12"/>
    </font>
    <font>
      <name val="Arial Black"/>
      <family val="2"/>
      <color theme="1"/>
      <sz val="10"/>
    </font>
    <font>
      <name val="Arial Black"/>
      <family val="2"/>
      <b val="1"/>
      <color theme="3" tint="-0.249977111117893"/>
      <sz val="22"/>
      <u val="single"/>
    </font>
    <font>
      <name val="Arial Black"/>
      <family val="2"/>
      <b val="1"/>
      <color rgb="FFFF0000"/>
      <sz val="12"/>
    </font>
    <font>
      <name val="Arial"/>
      <family val="2"/>
      <b val="1"/>
      <color rgb="FFFF0000"/>
      <sz val="12"/>
    </font>
    <font>
      <name val="Arial Black"/>
      <family val="2"/>
      <color rgb="FFFF0000"/>
      <sz val="11"/>
    </font>
    <font>
      <name val="Arial Black"/>
      <family val="2"/>
      <color rgb="FFFF0000"/>
      <sz val="12"/>
    </font>
    <font>
      <name val="Arial Black"/>
      <family val="2"/>
      <b val="1"/>
      <color theme="1"/>
      <sz val="14"/>
    </font>
    <font>
      <name val="Arial Black"/>
      <family val="2"/>
      <b val="1"/>
      <color rgb="FFFF0000"/>
      <sz val="11"/>
    </font>
    <font>
      <name val="Arial"/>
      <family val="2"/>
      <color rgb="FF000000"/>
      <sz val="12"/>
    </font>
  </fonts>
  <fills count="9">
    <fill>
      <patternFill/>
    </fill>
    <fill>
      <patternFill patternType="gray125"/>
    </fill>
    <fill>
      <patternFill patternType="solid">
        <fgColor indexed="9"/>
        <bgColor indexed="64"/>
      </patternFill>
    </fill>
    <fill>
      <patternFill patternType="solid">
        <fgColor indexed="22"/>
        <bgColor indexed="64"/>
      </patternFill>
    </fill>
    <fill>
      <patternFill patternType="solid">
        <fgColor indexed="27"/>
        <bgColor indexed="64"/>
      </patternFill>
    </fill>
    <fill>
      <patternFill patternType="solid">
        <fgColor indexed="13"/>
        <bgColor indexed="64"/>
      </patternFill>
    </fill>
    <fill>
      <patternFill patternType="solid">
        <fgColor theme="0" tint="-0.249977111117893"/>
        <bgColor indexed="64"/>
      </patternFill>
    </fill>
    <fill>
      <patternFill patternType="solid">
        <fgColor theme="4" tint="0.7999816888943144"/>
        <bgColor indexed="64"/>
      </patternFill>
    </fill>
    <fill>
      <patternFill patternType="solid">
        <fgColor rgb="FFFBFB97"/>
        <bgColor indexed="64"/>
      </patternFill>
    </fill>
  </fills>
  <borders count="62">
    <border>
      <left/>
      <right/>
      <top/>
      <bottom/>
      <diagonal/>
    </border>
    <border>
      <left style="thin">
        <color indexed="22"/>
      </left>
      <right/>
      <top style="thin">
        <color indexed="22"/>
      </top>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8"/>
      </left>
      <right/>
      <top style="medium">
        <color indexed="64"/>
      </top>
      <bottom/>
      <diagonal/>
    </border>
    <border>
      <left style="thin">
        <color indexed="8"/>
      </left>
      <right style="medium">
        <color indexed="64"/>
      </right>
      <top style="medium">
        <color indexed="64"/>
      </top>
      <bottom/>
      <diagonal/>
    </border>
    <border>
      <left style="thin">
        <color indexed="8"/>
      </left>
      <right/>
      <top/>
      <bottom/>
      <diagonal/>
    </border>
    <border>
      <left style="thin">
        <color indexed="8"/>
      </left>
      <right style="medium">
        <color indexed="64"/>
      </right>
      <top/>
      <bottom/>
      <diagonal/>
    </border>
    <border>
      <left style="thin">
        <color indexed="8"/>
      </left>
      <right/>
      <top style="medium">
        <color indexed="8"/>
      </top>
      <bottom style="medium">
        <color indexed="64"/>
      </bottom>
      <diagonal/>
    </border>
    <border>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medium">
        <color indexed="64"/>
      </left>
      <right/>
      <top style="medium">
        <color indexed="64"/>
      </top>
      <bottom style="medium">
        <color indexed="64"/>
      </bottom>
      <diagonal/>
    </border>
    <border>
      <left style="thin">
        <color indexed="8"/>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22"/>
      </top>
      <bottom/>
      <diagonal/>
    </border>
    <border>
      <left style="thin">
        <color indexed="22"/>
      </left>
      <right style="medium">
        <color indexed="64"/>
      </right>
      <top style="thin">
        <color indexed="22"/>
      </top>
      <bottom/>
      <diagonal/>
    </border>
    <border>
      <left style="medium">
        <color indexed="64"/>
      </left>
      <right/>
      <top style="thin">
        <color indexed="22"/>
      </top>
      <bottom style="medium">
        <color indexed="64"/>
      </bottom>
      <diagonal/>
    </border>
    <border>
      <left style="thin">
        <color indexed="22"/>
      </left>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style="thin">
        <color indexed="22"/>
      </left>
      <right style="medium">
        <color indexed="64"/>
      </right>
      <top style="medium">
        <color indexed="64"/>
      </top>
      <bottom/>
      <diagonal/>
    </border>
    <border>
      <left style="thin">
        <color indexed="22"/>
      </left>
      <right/>
      <top style="medium">
        <color indexed="64"/>
      </top>
      <bottom/>
      <diagonal/>
    </border>
    <border>
      <left style="medium">
        <color indexed="64"/>
      </left>
      <right style="thick">
        <color indexed="64"/>
      </right>
      <top/>
      <bottom/>
      <diagonal/>
    </border>
    <border>
      <left style="thin">
        <color indexed="8"/>
      </left>
      <right style="thin">
        <color indexed="8"/>
      </right>
      <top style="medium">
        <color indexed="64"/>
      </top>
      <bottom/>
      <diagonal/>
    </border>
    <border>
      <left style="thin">
        <color indexed="8"/>
      </left>
      <right style="thin">
        <color indexed="8"/>
      </right>
      <top/>
      <bottom style="medium">
        <color indexed="64"/>
      </bottom>
      <diagonal/>
    </border>
    <border>
      <left style="medium">
        <color indexed="64"/>
      </left>
      <right style="thin">
        <color indexed="8"/>
      </right>
      <top style="medium">
        <color indexed="64"/>
      </top>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right style="thin">
        <color indexed="8"/>
      </right>
      <top style="medium">
        <color indexed="64"/>
      </top>
      <bottom/>
      <diagonal/>
    </border>
    <border>
      <left/>
      <right style="thin">
        <color indexed="8"/>
      </right>
      <top/>
      <bottom/>
      <diagonal/>
    </border>
    <border>
      <left/>
      <right/>
      <top style="medium">
        <color indexed="64"/>
      </top>
      <bottom style="medium">
        <color indexed="64"/>
      </bottom>
      <diagonal/>
    </border>
    <border>
      <left/>
      <right style="thin">
        <color indexed="8"/>
      </right>
      <top/>
      <bottom style="medium">
        <color indexed="64"/>
      </bottom>
      <diagonal/>
    </border>
    <border>
      <left style="thick">
        <color indexed="64"/>
      </left>
      <right/>
      <top style="medium">
        <color indexed="64"/>
      </top>
      <bottom/>
      <diagonal/>
    </border>
    <border>
      <left style="thick">
        <color indexed="64"/>
      </left>
      <right/>
      <top/>
      <bottom/>
      <diagonal/>
    </border>
    <border>
      <left style="thick">
        <color indexed="64"/>
      </left>
      <right/>
      <top/>
      <bottom style="medium">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64"/>
      </right>
      <top style="medium">
        <color indexed="64"/>
      </top>
      <bottom style="medium">
        <color indexed="8"/>
      </bottom>
      <diagonal/>
    </border>
    <border>
      <left/>
      <right style="medium">
        <color indexed="64"/>
      </right>
      <top style="medium">
        <color indexed="8"/>
      </top>
      <bottom style="medium">
        <color indexed="64"/>
      </bottom>
      <diagonal/>
    </border>
    <border>
      <left style="medium">
        <color indexed="64"/>
      </left>
      <right/>
      <top style="medium">
        <color indexed="8"/>
      </top>
      <bottom style="medium">
        <color indexed="64"/>
      </bottom>
      <diagonal/>
    </border>
    <border>
      <left style="medium">
        <color indexed="64"/>
      </left>
      <right/>
      <top style="medium">
        <color indexed="8"/>
      </top>
      <bottom/>
      <diagonal/>
    </border>
    <border>
      <left/>
      <right/>
      <top style="medium">
        <color indexed="8"/>
      </top>
      <bottom/>
      <diagonal/>
    </border>
    <border>
      <left/>
      <right style="medium">
        <color indexed="64"/>
      </right>
      <top style="medium">
        <color indexed="8"/>
      </top>
      <bottom/>
      <diagonal/>
    </border>
    <border>
      <left/>
      <right style="thin">
        <color indexed="8"/>
      </right>
      <top style="medium">
        <color indexed="8"/>
      </top>
      <bottom style="medium">
        <color indexed="64"/>
      </bottom>
      <diagonal/>
    </border>
    <border>
      <left style="thin">
        <color indexed="8"/>
      </left>
      <right style="thin">
        <color indexed="8"/>
      </right>
      <top style="medium">
        <color indexed="64"/>
      </top>
      <bottom style="medium">
        <color indexed="64"/>
      </bottom>
      <diagonal/>
    </border>
    <border>
      <left style="thin">
        <color indexed="8"/>
      </left>
      <right style="thin">
        <color indexed="8"/>
      </right>
      <top/>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medium">
        <color indexed="64"/>
      </bottom>
      <diagonal/>
    </border>
    <border>
      <left style="medium">
        <color indexed="64"/>
      </left>
      <right style="thin">
        <color indexed="8"/>
      </right>
      <top/>
      <bottom/>
      <diagonal/>
    </border>
    <border>
      <left style="medium">
        <color indexed="64"/>
      </left>
      <right style="medium">
        <color indexed="64"/>
      </right>
      <top style="medium">
        <color indexed="64"/>
      </top>
      <bottom style="medium">
        <color indexed="8"/>
      </bottom>
      <diagonal/>
    </border>
    <border>
      <left style="thick">
        <color indexed="64"/>
      </left>
      <right style="medium">
        <color indexed="64"/>
      </right>
      <top style="medium">
        <color indexed="64"/>
      </top>
      <bottom style="medium">
        <color indexed="64"/>
      </bottom>
      <diagonal/>
    </border>
    <border>
      <left style="medium">
        <color indexed="64"/>
      </left>
      <right style="medium">
        <color indexed="64"/>
      </right>
      <top style="medium">
        <color indexed="8"/>
      </top>
      <bottom style="medium">
        <color indexed="64"/>
      </bottom>
      <diagonal/>
    </border>
    <border>
      <left style="medium">
        <color indexed="64"/>
      </left>
      <right style="thin">
        <color indexed="8"/>
      </right>
      <top style="medium">
        <color indexed="8"/>
      </top>
      <bottom style="medium">
        <color indexed="64"/>
      </bottom>
      <diagonal/>
    </border>
    <border>
      <left/>
      <right style="thin">
        <color indexed="8"/>
      </right>
      <top style="medium">
        <color indexed="8"/>
      </top>
      <bottom/>
      <diagonal/>
    </border>
  </borders>
  <cellStyleXfs count="5">
    <xf numFmtId="0" fontId="0" fillId="0" borderId="0"/>
    <xf numFmtId="43" fontId="16" fillId="0" borderId="0"/>
    <xf numFmtId="43" fontId="25" fillId="0" borderId="0"/>
    <xf numFmtId="0" fontId="25" fillId="0" borderId="0"/>
    <xf numFmtId="9" fontId="16" fillId="0" borderId="0"/>
  </cellStyleXfs>
  <cellXfs count="360">
    <xf numFmtId="0" fontId="0" fillId="0" borderId="0" pivotButton="0" quotePrefix="0" xfId="0"/>
    <xf numFmtId="0" fontId="1" fillId="0" borderId="0" pivotButton="0" quotePrefix="0" xfId="0"/>
    <xf numFmtId="4" fontId="1" fillId="0" borderId="0" pivotButton="0" quotePrefix="0" xfId="0"/>
    <xf numFmtId="10" fontId="1" fillId="0" borderId="0" pivotButton="0" quotePrefix="0" xfId="0"/>
    <xf numFmtId="3" fontId="1" fillId="0" borderId="0" pivotButton="0" quotePrefix="0" xfId="0"/>
    <xf numFmtId="9" fontId="1" fillId="0" borderId="0" pivotButton="0" quotePrefix="0" xfId="0"/>
    <xf numFmtId="10" fontId="2" fillId="2" borderId="0" applyAlignment="1" pivotButton="0" quotePrefix="0" xfId="0">
      <alignment horizontal="centerContinuous"/>
    </xf>
    <xf numFmtId="10" fontId="5" fillId="2" borderId="0" pivotButton="0" quotePrefix="0" xfId="0"/>
    <xf numFmtId="10" fontId="3" fillId="2" borderId="0" pivotButton="0" quotePrefix="0" xfId="0"/>
    <xf numFmtId="4" fontId="10" fillId="0" borderId="0" pivotButton="0" quotePrefix="0" xfId="0"/>
    <xf numFmtId="164" fontId="1" fillId="0" borderId="0" pivotButton="0" quotePrefix="0" xfId="0"/>
    <xf numFmtId="165" fontId="1" fillId="0" borderId="0" pivotButton="0" quotePrefix="0" xfId="0"/>
    <xf numFmtId="10" fontId="3" fillId="0" borderId="0" pivotButton="0" quotePrefix="0" xfId="0"/>
    <xf numFmtId="166" fontId="1" fillId="0" borderId="1" pivotButton="0" quotePrefix="0" xfId="0"/>
    <xf numFmtId="4" fontId="1" fillId="0" borderId="1" pivotButton="0" quotePrefix="0" xfId="0"/>
    <xf numFmtId="0" fontId="12" fillId="0" borderId="0" applyAlignment="1" pivotButton="0" quotePrefix="0" xfId="0">
      <alignment horizontal="centerContinuous"/>
    </xf>
    <xf numFmtId="0" fontId="2" fillId="3" borderId="2" applyAlignment="1" pivotButton="0" quotePrefix="0" xfId="0">
      <alignment horizontal="center"/>
    </xf>
    <xf numFmtId="0" fontId="3" fillId="3" borderId="3" pivotButton="0" quotePrefix="0" xfId="0"/>
    <xf numFmtId="0" fontId="2" fillId="3" borderId="2" applyAlignment="1" pivotButton="0" quotePrefix="0" xfId="0">
      <alignment horizontal="centerContinuous"/>
    </xf>
    <xf numFmtId="0" fontId="3" fillId="3" borderId="4" applyAlignment="1" pivotButton="0" quotePrefix="0" xfId="0">
      <alignment horizontal="centerContinuous"/>
    </xf>
    <xf numFmtId="0" fontId="3" fillId="3" borderId="5" applyAlignment="1" pivotButton="0" quotePrefix="0" xfId="0">
      <alignment horizontal="centerContinuous"/>
    </xf>
    <xf numFmtId="167" fontId="1" fillId="0" borderId="0" pivotButton="0" quotePrefix="0" xfId="0"/>
    <xf numFmtId="0" fontId="1" fillId="0" borderId="0" applyAlignment="1" pivotButton="0" quotePrefix="0" xfId="0">
      <alignment horizontal="center"/>
    </xf>
    <xf numFmtId="0" fontId="13" fillId="0" borderId="0" pivotButton="0" quotePrefix="0" xfId="0"/>
    <xf numFmtId="0" fontId="14" fillId="0" borderId="6" pivotButton="0" quotePrefix="0" xfId="0"/>
    <xf numFmtId="0" fontId="13" fillId="0" borderId="6" pivotButton="0" quotePrefix="0" xfId="0"/>
    <xf numFmtId="0" fontId="12" fillId="0" borderId="0" applyAlignment="1" pivotButton="0" quotePrefix="0" xfId="0">
      <alignment horizontal="center"/>
    </xf>
    <xf numFmtId="0" fontId="26" fillId="3" borderId="4" pivotButton="0" quotePrefix="0" xfId="0"/>
    <xf numFmtId="0" fontId="27" fillId="3" borderId="5" applyAlignment="1" pivotButton="0" quotePrefix="0" xfId="0">
      <alignment horizontal="center"/>
    </xf>
    <xf numFmtId="0" fontId="28" fillId="4" borderId="7" applyAlignment="1" applyProtection="1" pivotButton="0" quotePrefix="0" xfId="0">
      <alignment vertical="center" wrapText="1"/>
      <protection locked="0" hidden="0"/>
    </xf>
    <xf numFmtId="0" fontId="26" fillId="3" borderId="0" pivotButton="0" quotePrefix="0" xfId="0"/>
    <xf numFmtId="0" fontId="28" fillId="3" borderId="8" applyAlignment="1" pivotButton="0" quotePrefix="0" xfId="0">
      <alignment vertical="center" wrapText="1"/>
    </xf>
    <xf numFmtId="0" fontId="28" fillId="3" borderId="8" applyAlignment="1" pivotButton="0" quotePrefix="0" xfId="0">
      <alignment horizontal="left" vertical="center" wrapText="1"/>
    </xf>
    <xf numFmtId="0" fontId="28" fillId="4" borderId="7" applyAlignment="1" applyProtection="1" pivotButton="0" quotePrefix="0" xfId="0">
      <alignment vertical="center"/>
      <protection locked="0" hidden="0"/>
    </xf>
    <xf numFmtId="0" fontId="28" fillId="3" borderId="8" applyAlignment="1" pivotButton="0" quotePrefix="0" xfId="0">
      <alignment horizontal="left" vertical="center"/>
    </xf>
    <xf numFmtId="0" fontId="29" fillId="3" borderId="0" pivotButton="0" quotePrefix="0" xfId="0"/>
    <xf numFmtId="0" fontId="26" fillId="3" borderId="6" pivotButton="0" quotePrefix="0" xfId="0"/>
    <xf numFmtId="0" fontId="28" fillId="6" borderId="0" applyAlignment="1" pivotButton="0" quotePrefix="0" xfId="0">
      <alignment horizontal="center" wrapText="1"/>
    </xf>
    <xf numFmtId="0" fontId="29" fillId="3" borderId="3" pivotButton="0" quotePrefix="0" xfId="0"/>
    <xf numFmtId="0" fontId="26" fillId="3" borderId="9" pivotButton="0" quotePrefix="0" xfId="0"/>
    <xf numFmtId="0" fontId="29" fillId="3" borderId="9" pivotButton="0" quotePrefix="0" xfId="0"/>
    <xf numFmtId="0" fontId="28" fillId="6" borderId="9" applyAlignment="1" pivotButton="0" quotePrefix="0" xfId="0">
      <alignment horizontal="center" wrapText="1"/>
    </xf>
    <xf numFmtId="0" fontId="28" fillId="6" borderId="10" pivotButton="0" quotePrefix="0" xfId="0"/>
    <xf numFmtId="0" fontId="19" fillId="0" borderId="6" applyProtection="1" pivotButton="0" quotePrefix="0" xfId="0">
      <protection locked="0" hidden="0"/>
    </xf>
    <xf numFmtId="0" fontId="19" fillId="0" borderId="0" applyProtection="1" pivotButton="0" quotePrefix="0" xfId="0">
      <protection locked="0" hidden="0"/>
    </xf>
    <xf numFmtId="0" fontId="19" fillId="0" borderId="8" applyProtection="1" pivotButton="0" quotePrefix="0" xfId="0">
      <protection locked="0" hidden="0"/>
    </xf>
    <xf numFmtId="0" fontId="21" fillId="5" borderId="2" applyProtection="1" pivotButton="0" quotePrefix="0" xfId="0">
      <protection locked="0" hidden="0"/>
    </xf>
    <xf numFmtId="0" fontId="20" fillId="5" borderId="4" applyProtection="1" pivotButton="0" quotePrefix="0" xfId="0">
      <protection locked="0" hidden="0"/>
    </xf>
    <xf numFmtId="0" fontId="21" fillId="5" borderId="11" applyProtection="1" pivotButton="0" quotePrefix="0" xfId="0">
      <protection locked="0" hidden="0"/>
    </xf>
    <xf numFmtId="0" fontId="21" fillId="5" borderId="4" applyProtection="1" pivotButton="0" quotePrefix="0" xfId="0">
      <protection locked="0" hidden="0"/>
    </xf>
    <xf numFmtId="0" fontId="21" fillId="5" borderId="12" applyProtection="1" pivotButton="0" quotePrefix="0" xfId="0">
      <protection locked="0" hidden="0"/>
    </xf>
    <xf numFmtId="0" fontId="21" fillId="5" borderId="6" applyProtection="1" pivotButton="0" quotePrefix="0" xfId="0">
      <protection locked="0" hidden="0"/>
    </xf>
    <xf numFmtId="0" fontId="20" fillId="5" borderId="0" applyProtection="1" pivotButton="0" quotePrefix="0" xfId="0">
      <protection locked="0" hidden="0"/>
    </xf>
    <xf numFmtId="0" fontId="21" fillId="5" borderId="13" applyProtection="1" pivotButton="0" quotePrefix="0" xfId="0">
      <protection locked="0" hidden="0"/>
    </xf>
    <xf numFmtId="0" fontId="21" fillId="5" borderId="0" applyProtection="1" pivotButton="0" quotePrefix="0" xfId="0">
      <protection locked="0" hidden="0"/>
    </xf>
    <xf numFmtId="0" fontId="21" fillId="5" borderId="14" applyAlignment="1" applyProtection="1" pivotButton="0" quotePrefix="0" xfId="0">
      <alignment horizontal="left"/>
      <protection locked="0" hidden="0"/>
    </xf>
    <xf numFmtId="0" fontId="20" fillId="5" borderId="6" applyProtection="1" pivotButton="0" quotePrefix="0" xfId="0">
      <protection locked="0" hidden="0"/>
    </xf>
    <xf numFmtId="0" fontId="19" fillId="0" borderId="15" applyAlignment="1" applyProtection="1" pivotButton="0" quotePrefix="0" xfId="0">
      <alignment horizontal="left"/>
      <protection locked="0" hidden="0"/>
    </xf>
    <xf numFmtId="0" fontId="19" fillId="0" borderId="16" applyAlignment="1" applyProtection="1" pivotButton="0" quotePrefix="0" xfId="0">
      <alignment horizontal="left"/>
      <protection locked="0" hidden="0"/>
    </xf>
    <xf numFmtId="0" fontId="19" fillId="0" borderId="17" applyAlignment="1" applyProtection="1" pivotButton="0" quotePrefix="0" xfId="0">
      <alignment horizontal="left"/>
      <protection locked="0" hidden="0"/>
    </xf>
    <xf numFmtId="0" fontId="30" fillId="2" borderId="0" applyAlignment="1" pivotButton="0" quotePrefix="0" xfId="0">
      <alignment horizontal="centerContinuous"/>
    </xf>
    <xf numFmtId="0" fontId="31" fillId="0" borderId="0" applyAlignment="1" pivotButton="0" quotePrefix="0" xfId="0">
      <alignment horizontal="center"/>
    </xf>
    <xf numFmtId="4" fontId="5" fillId="0" borderId="0" pivotButton="0" quotePrefix="0" xfId="0"/>
    <xf numFmtId="4" fontId="2" fillId="0" borderId="0" applyAlignment="1" pivotButton="0" quotePrefix="0" xfId="0">
      <alignment horizontal="centerContinuous"/>
    </xf>
    <xf numFmtId="43" fontId="6" fillId="0" borderId="0" pivotButton="0" quotePrefix="0" xfId="1"/>
    <xf numFmtId="0" fontId="5" fillId="0" borderId="0" pivotButton="0" quotePrefix="0" xfId="0"/>
    <xf numFmtId="15" fontId="6" fillId="0" borderId="0" applyAlignment="1" applyProtection="1" pivotButton="0" quotePrefix="0" xfId="0">
      <alignment horizontal="center"/>
      <protection locked="0" hidden="0"/>
    </xf>
    <xf numFmtId="0" fontId="7" fillId="0" borderId="0" applyAlignment="1" applyProtection="1" pivotButton="0" quotePrefix="0" xfId="0">
      <alignment horizontal="center"/>
      <protection locked="0" hidden="0"/>
    </xf>
    <xf numFmtId="0" fontId="2" fillId="0" borderId="0" applyAlignment="1" pivotButton="0" quotePrefix="0" xfId="0">
      <alignment horizontal="centerContinuous"/>
    </xf>
    <xf numFmtId="0" fontId="18" fillId="0" borderId="0" applyProtection="1" pivotButton="0" quotePrefix="0" xfId="0">
      <protection locked="0" hidden="0"/>
    </xf>
    <xf numFmtId="4" fontId="3" fillId="0" borderId="0" applyAlignment="1" pivotButton="0" quotePrefix="0" xfId="0">
      <alignment horizontal="centerContinuous"/>
    </xf>
    <xf numFmtId="0" fontId="1" fillId="0" borderId="0" applyAlignment="1" pivotButton="0" quotePrefix="0" xfId="0">
      <alignment horizontal="centerContinuous"/>
    </xf>
    <xf numFmtId="0" fontId="9" fillId="0" borderId="0" pivotButton="0" quotePrefix="0" xfId="0"/>
    <xf numFmtId="4" fontId="2" fillId="0" borderId="0" applyAlignment="1" pivotButton="0" quotePrefix="0" xfId="0">
      <alignment horizontal="center"/>
    </xf>
    <xf numFmtId="3" fontId="5" fillId="0" borderId="0" applyAlignment="1" pivotButton="0" quotePrefix="0" xfId="0">
      <alignment horizontal="left"/>
    </xf>
    <xf numFmtId="166" fontId="9" fillId="0" borderId="0" applyAlignment="1" pivotButton="0" quotePrefix="0" xfId="0">
      <alignment horizontal="right"/>
    </xf>
    <xf numFmtId="0" fontId="11" fillId="0" borderId="0" pivotButton="0" quotePrefix="0" xfId="0"/>
    <xf numFmtId="9" fontId="11" fillId="0" borderId="0" pivotButton="0" quotePrefix="0" xfId="4"/>
    <xf numFmtId="3" fontId="4" fillId="0" borderId="0" applyAlignment="1" pivotButton="0" quotePrefix="0" xfId="0">
      <alignment horizontal="centerContinuous"/>
    </xf>
    <xf numFmtId="9" fontId="3" fillId="0" borderId="0" applyAlignment="1" pivotButton="0" quotePrefix="0" xfId="0">
      <alignment horizontal="centerContinuous"/>
    </xf>
    <xf numFmtId="3" fontId="8" fillId="0" borderId="0" pivotButton="0" quotePrefix="0" xfId="0"/>
    <xf numFmtId="4" fontId="8" fillId="0" borderId="0" applyAlignment="1" pivotButton="0" quotePrefix="0" xfId="0">
      <alignment horizontal="center"/>
    </xf>
    <xf numFmtId="9" fontId="8" fillId="0" borderId="0" applyAlignment="1" pivotButton="0" quotePrefix="0" xfId="0">
      <alignment horizontal="center"/>
    </xf>
    <xf numFmtId="3" fontId="2" fillId="0" borderId="0" applyAlignment="1" pivotButton="0" quotePrefix="0" xfId="0">
      <alignment horizontal="left"/>
    </xf>
    <xf numFmtId="10" fontId="2" fillId="0" borderId="0" applyAlignment="1" pivotButton="0" quotePrefix="0" xfId="0">
      <alignment horizontal="center"/>
    </xf>
    <xf numFmtId="168" fontId="1" fillId="0" borderId="0" pivotButton="0" quotePrefix="0" xfId="0"/>
    <xf numFmtId="3" fontId="6" fillId="0" borderId="0" pivotButton="0" quotePrefix="0" xfId="0"/>
    <xf numFmtId="4" fontId="6" fillId="0" borderId="0" pivotButton="0" quotePrefix="0" xfId="0"/>
    <xf numFmtId="9" fontId="6" fillId="0" borderId="0" pivotButton="0" quotePrefix="0" xfId="0"/>
    <xf numFmtId="0" fontId="2" fillId="3" borderId="6" pivotButton="0" quotePrefix="0" xfId="0"/>
    <xf numFmtId="0" fontId="2" fillId="3" borderId="3" pivotButton="0" quotePrefix="0" xfId="0"/>
    <xf numFmtId="4" fontId="2" fillId="0" borderId="14" applyAlignment="1" pivotButton="0" quotePrefix="0" xfId="0">
      <alignment horizontal="right"/>
    </xf>
    <xf numFmtId="4" fontId="1" fillId="0" borderId="14" applyAlignment="1" pivotButton="0" quotePrefix="0" xfId="0">
      <alignment horizontal="right"/>
    </xf>
    <xf numFmtId="166" fontId="2" fillId="0" borderId="14" applyAlignment="1" pivotButton="0" quotePrefix="0" xfId="0">
      <alignment horizontal="right"/>
    </xf>
    <xf numFmtId="4" fontId="2" fillId="3" borderId="18" pivotButton="0" quotePrefix="0" xfId="0"/>
    <xf numFmtId="4" fontId="2" fillId="0" borderId="12" applyAlignment="1" pivotButton="0" quotePrefix="0" xfId="0">
      <alignment horizontal="right"/>
    </xf>
    <xf numFmtId="166" fontId="2" fillId="0" borderId="19" applyAlignment="1" pivotButton="0" quotePrefix="0" xfId="0">
      <alignment horizontal="right"/>
    </xf>
    <xf numFmtId="0" fontId="6" fillId="0" borderId="20" applyAlignment="1" applyProtection="1" pivotButton="0" quotePrefix="0" xfId="0">
      <alignment horizontal="center" vertical="center"/>
      <protection locked="0" hidden="0"/>
    </xf>
    <xf numFmtId="0" fontId="6" fillId="0" borderId="21" applyAlignment="1" applyProtection="1" pivotButton="0" quotePrefix="0" xfId="0">
      <alignment horizontal="center" vertical="center"/>
      <protection locked="0" hidden="0"/>
    </xf>
    <xf numFmtId="0" fontId="6" fillId="0" borderId="22" applyAlignment="1" applyProtection="1" pivotButton="0" quotePrefix="0" xfId="0">
      <alignment horizontal="center" vertical="center"/>
      <protection locked="0" hidden="0"/>
    </xf>
    <xf numFmtId="0" fontId="2" fillId="0" borderId="0" applyAlignment="1" pivotButton="0" quotePrefix="0" xfId="0">
      <alignment vertical="center"/>
    </xf>
    <xf numFmtId="0" fontId="11" fillId="7" borderId="1" applyAlignment="1" applyProtection="1" pivotButton="0" quotePrefix="0" xfId="0">
      <alignment horizontal="center"/>
      <protection locked="0" hidden="0"/>
    </xf>
    <xf numFmtId="4" fontId="11" fillId="7" borderId="1" applyProtection="1" pivotButton="0" quotePrefix="0" xfId="0">
      <protection locked="0" hidden="0"/>
    </xf>
    <xf numFmtId="4" fontId="11" fillId="7" borderId="23" applyProtection="1" pivotButton="0" quotePrefix="0" xfId="0">
      <protection locked="0" hidden="0"/>
    </xf>
    <xf numFmtId="4" fontId="11" fillId="7" borderId="24" applyProtection="1" pivotButton="0" quotePrefix="0" xfId="0">
      <protection locked="0" hidden="0"/>
    </xf>
    <xf numFmtId="4" fontId="11" fillId="7" borderId="25" applyProtection="1" pivotButton="0" quotePrefix="0" xfId="0">
      <protection locked="0" hidden="0"/>
    </xf>
    <xf numFmtId="4" fontId="11" fillId="7" borderId="26" applyProtection="1" pivotButton="0" quotePrefix="0" xfId="0">
      <protection locked="0" hidden="0"/>
    </xf>
    <xf numFmtId="4" fontId="11" fillId="7" borderId="27" applyProtection="1" pivotButton="0" quotePrefix="0" xfId="0">
      <protection locked="0" hidden="0"/>
    </xf>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0" fontId="6" fillId="7" borderId="7" pivotButton="0" quotePrefix="0" xfId="0"/>
    <xf numFmtId="0" fontId="11" fillId="7" borderId="29" applyAlignment="1" applyProtection="1" pivotButton="0" quotePrefix="0" xfId="0">
      <alignment horizontal="center"/>
      <protection locked="0" hidden="0"/>
    </xf>
    <xf numFmtId="4" fontId="11" fillId="7" borderId="29" applyProtection="1" pivotButton="0" quotePrefix="0" xfId="0">
      <protection locked="0" hidden="0"/>
    </xf>
    <xf numFmtId="166" fontId="1" fillId="0" borderId="29" pivotButton="0" quotePrefix="0" xfId="0"/>
    <xf numFmtId="4" fontId="1" fillId="0" borderId="29" pivotButton="0" quotePrefix="0" xfId="0"/>
    <xf numFmtId="4" fontId="1" fillId="0" borderId="28" pivotButton="0" quotePrefix="0" xfId="0"/>
    <xf numFmtId="0" fontId="11" fillId="7" borderId="23" applyAlignment="1" applyProtection="1" pivotButton="0" quotePrefix="0" xfId="0">
      <alignment horizontal="center" wrapText="1"/>
      <protection locked="0" hidden="0"/>
    </xf>
    <xf numFmtId="4" fontId="1" fillId="0" borderId="24" pivotButton="0" quotePrefix="0" xfId="0"/>
    <xf numFmtId="0" fontId="11" fillId="7" borderId="25" applyAlignment="1" applyProtection="1" pivotButton="0" quotePrefix="0" xfId="0">
      <alignment horizontal="center" wrapText="1"/>
      <protection locked="0" hidden="0"/>
    </xf>
    <xf numFmtId="0" fontId="11" fillId="7" borderId="26" applyAlignment="1" applyProtection="1" pivotButton="0" quotePrefix="0" xfId="0">
      <alignment horizontal="center"/>
      <protection locked="0" hidden="0"/>
    </xf>
    <xf numFmtId="166" fontId="1" fillId="0" borderId="26" pivotButton="0" quotePrefix="0" xfId="0"/>
    <xf numFmtId="4" fontId="1" fillId="0" borderId="26" pivotButton="0" quotePrefix="0" xfId="0"/>
    <xf numFmtId="4" fontId="1" fillId="0" borderId="27" pivotButton="0" quotePrefix="0" xfId="0"/>
    <xf numFmtId="4" fontId="11" fillId="0" borderId="2" applyAlignment="1" pivotButton="0" quotePrefix="0" xfId="0">
      <alignment horizontal="right"/>
    </xf>
    <xf numFmtId="4" fontId="1" fillId="0" borderId="28" applyAlignment="1" pivotButton="0" quotePrefix="0" xfId="0">
      <alignment horizontal="right"/>
    </xf>
    <xf numFmtId="4" fontId="11" fillId="0" borderId="23" applyAlignment="1" pivotButton="0" quotePrefix="0" xfId="0">
      <alignment horizontal="right"/>
    </xf>
    <xf numFmtId="4" fontId="1" fillId="0" borderId="24" applyAlignment="1" pivotButton="0" quotePrefix="0" xfId="0">
      <alignment horizontal="right"/>
    </xf>
    <xf numFmtId="4" fontId="11" fillId="0" borderId="25" applyAlignment="1" pivotButton="0" quotePrefix="0" xfId="0">
      <alignment horizontal="right"/>
    </xf>
    <xf numFmtId="4" fontId="1" fillId="0" borderId="27" applyAlignment="1" pivotButton="0" quotePrefix="0" xfId="0">
      <alignment horizontal="right"/>
    </xf>
    <xf numFmtId="4" fontId="5" fillId="0" borderId="0" applyAlignment="1" pivotButton="0" quotePrefix="0" xfId="0">
      <alignment horizontal="center"/>
    </xf>
    <xf numFmtId="4" fontId="3" fillId="0" borderId="0" applyAlignment="1" pivotButton="0" quotePrefix="0" xfId="0">
      <alignment horizontal="center"/>
    </xf>
    <xf numFmtId="2" fontId="6" fillId="7" borderId="7" pivotButton="0" quotePrefix="0" xfId="0"/>
    <xf numFmtId="0" fontId="15" fillId="0" borderId="0" pivotButton="0" quotePrefix="0" xfId="0"/>
    <xf numFmtId="0" fontId="14" fillId="0" borderId="30" pivotButton="0" quotePrefix="0" xfId="0"/>
    <xf numFmtId="4" fontId="11" fillId="7" borderId="1" applyAlignment="1" applyProtection="1" pivotButton="0" quotePrefix="0" xfId="0">
      <alignment wrapText="1"/>
      <protection locked="0" hidden="0"/>
    </xf>
    <xf numFmtId="3" fontId="11" fillId="7" borderId="29" applyAlignment="1" applyProtection="1" pivotButton="0" quotePrefix="0" xfId="0">
      <alignment horizontal="center"/>
      <protection locked="0" hidden="0"/>
    </xf>
    <xf numFmtId="3" fontId="11" fillId="7" borderId="1" applyAlignment="1" applyProtection="1" pivotButton="0" quotePrefix="0" xfId="0">
      <alignment horizontal="center"/>
      <protection locked="0" hidden="0"/>
    </xf>
    <xf numFmtId="0" fontId="32" fillId="0" borderId="2" applyAlignment="1" pivotButton="0" quotePrefix="0" xfId="0">
      <alignment horizontal="center" vertical="center" wrapText="1"/>
    </xf>
    <xf numFmtId="0" fontId="32" fillId="0" borderId="4" applyAlignment="1" pivotButton="0" quotePrefix="0" xfId="0">
      <alignment horizontal="center" vertical="center" wrapText="1"/>
    </xf>
    <xf numFmtId="0" fontId="32" fillId="0" borderId="5" applyAlignment="1" pivotButton="0" quotePrefix="0" xfId="0">
      <alignment horizontal="center" vertical="center" wrapText="1"/>
    </xf>
    <xf numFmtId="0" fontId="32" fillId="0" borderId="3" applyAlignment="1" pivotButton="0" quotePrefix="0" xfId="0">
      <alignment horizontal="center" vertical="center" wrapText="1"/>
    </xf>
    <xf numFmtId="0" fontId="32" fillId="0" borderId="9" applyAlignment="1" pivotButton="0" quotePrefix="0" xfId="0">
      <alignment horizontal="center" vertical="center" wrapText="1"/>
    </xf>
    <xf numFmtId="0" fontId="32" fillId="0" borderId="10" applyAlignment="1" pivotButton="0" quotePrefix="0" xfId="0">
      <alignment horizontal="center" vertical="center" wrapText="1"/>
    </xf>
    <xf numFmtId="0" fontId="2" fillId="0" borderId="0" applyAlignment="1" pivotButton="0" quotePrefix="0" xfId="0">
      <alignment horizontal="center" vertical="center"/>
    </xf>
    <xf numFmtId="0" fontId="2" fillId="6" borderId="22" applyAlignment="1" pivotButton="0" quotePrefix="0" xfId="0">
      <alignment horizontal="center" vertical="center" wrapText="1"/>
    </xf>
    <xf numFmtId="0" fontId="2" fillId="6" borderId="21" applyAlignment="1" pivotButton="0" quotePrefix="0" xfId="0">
      <alignment horizontal="center" vertical="center" wrapText="1"/>
    </xf>
    <xf numFmtId="3" fontId="2" fillId="0" borderId="6" applyAlignment="1" pivotButton="0" quotePrefix="0" xfId="0">
      <alignment horizontal="center"/>
    </xf>
    <xf numFmtId="3" fontId="2" fillId="0" borderId="37" applyAlignment="1" pivotButton="0" quotePrefix="0" xfId="0">
      <alignment horizontal="center"/>
    </xf>
    <xf numFmtId="0" fontId="2" fillId="3" borderId="18" applyAlignment="1" pivotButton="0" quotePrefix="0" xfId="0">
      <alignment horizontal="center"/>
    </xf>
    <xf numFmtId="0" fontId="2" fillId="3" borderId="38" applyAlignment="1" pivotButton="0" quotePrefix="0" xfId="0">
      <alignment horizontal="center"/>
    </xf>
    <xf numFmtId="0" fontId="2" fillId="3" borderId="35" applyAlignment="1" pivotButton="0" quotePrefix="0" xfId="0">
      <alignment horizontal="center"/>
    </xf>
    <xf numFmtId="3" fontId="2" fillId="2" borderId="6" applyAlignment="1" pivotButton="0" quotePrefix="0" xfId="0">
      <alignment horizontal="left" vertical="top" wrapText="1"/>
    </xf>
    <xf numFmtId="3" fontId="2" fillId="2" borderId="0" applyAlignment="1" pivotButton="0" quotePrefix="0" xfId="0">
      <alignment horizontal="left" vertical="top" wrapText="1"/>
    </xf>
    <xf numFmtId="3" fontId="2" fillId="2" borderId="8" applyAlignment="1" pivotButton="0" quotePrefix="0" xfId="0">
      <alignment horizontal="left" vertical="top" wrapText="1"/>
    </xf>
    <xf numFmtId="3" fontId="1" fillId="0" borderId="0" applyAlignment="1" pivotButton="0" quotePrefix="0" xfId="0">
      <alignment horizontal="center"/>
    </xf>
    <xf numFmtId="3" fontId="2" fillId="0" borderId="3" applyAlignment="1" pivotButton="0" quotePrefix="0" xfId="0">
      <alignment horizontal="center"/>
    </xf>
    <xf numFmtId="3" fontId="2" fillId="0" borderId="39" applyAlignment="1" pivotButton="0" quotePrefix="0" xfId="0">
      <alignment horizontal="center"/>
    </xf>
    <xf numFmtId="3" fontId="6" fillId="2" borderId="2" applyAlignment="1" pivotButton="0" quotePrefix="0" xfId="0">
      <alignment horizontal="left" vertical="top" wrapText="1"/>
    </xf>
    <xf numFmtId="3" fontId="6" fillId="2" borderId="4" applyAlignment="1" pivotButton="0" quotePrefix="0" xfId="0">
      <alignment horizontal="left" vertical="top" wrapText="1"/>
    </xf>
    <xf numFmtId="3" fontId="6" fillId="2" borderId="5" applyAlignment="1" pivotButton="0" quotePrefix="0" xfId="0">
      <alignment horizontal="left" vertical="top" wrapText="1"/>
    </xf>
    <xf numFmtId="3" fontId="2" fillId="0" borderId="2" applyAlignment="1" pivotButton="0" quotePrefix="0" xfId="0">
      <alignment horizontal="center"/>
    </xf>
    <xf numFmtId="3" fontId="2" fillId="0" borderId="36" applyAlignment="1" pivotButton="0" quotePrefix="0" xfId="0">
      <alignment horizontal="center"/>
    </xf>
    <xf numFmtId="3" fontId="1" fillId="0" borderId="6" applyAlignment="1" pivotButton="0" quotePrefix="0" xfId="0">
      <alignment horizontal="center"/>
    </xf>
    <xf numFmtId="3" fontId="1" fillId="0" borderId="37" applyAlignment="1" pivotButton="0" quotePrefix="0" xfId="0">
      <alignment horizontal="center"/>
    </xf>
    <xf numFmtId="10" fontId="2" fillId="3" borderId="31" applyAlignment="1" pivotButton="0" quotePrefix="0" xfId="0">
      <alignment horizontal="center" vertical="center" wrapText="1"/>
    </xf>
    <xf numFmtId="10" fontId="2" fillId="3" borderId="32" applyAlignment="1" pivotButton="0" quotePrefix="0" xfId="0">
      <alignment horizontal="center" vertical="center" wrapText="1"/>
    </xf>
    <xf numFmtId="4" fontId="2" fillId="3" borderId="2" applyAlignment="1" pivotButton="0" quotePrefix="0" xfId="0">
      <alignment horizontal="center" vertical="center" wrapText="1"/>
    </xf>
    <xf numFmtId="4" fontId="2" fillId="3" borderId="3" applyAlignment="1" pivotButton="0" quotePrefix="0" xfId="0">
      <alignment horizontal="center" vertical="center" wrapText="1"/>
    </xf>
    <xf numFmtId="4" fontId="2" fillId="3" borderId="22" applyAlignment="1" pivotButton="0" quotePrefix="0" xfId="0">
      <alignment horizontal="center" vertical="center"/>
    </xf>
    <xf numFmtId="4" fontId="2" fillId="3" borderId="21" applyAlignment="1" pivotButton="0" quotePrefix="0" xfId="0">
      <alignment horizontal="center" vertical="center"/>
    </xf>
    <xf numFmtId="4" fontId="2" fillId="3" borderId="12" applyAlignment="1" pivotButton="0" quotePrefix="0" xfId="0">
      <alignment horizontal="center" vertical="center" wrapText="1"/>
    </xf>
    <xf numFmtId="4" fontId="2" fillId="3" borderId="19" applyAlignment="1" pivotButton="0" quotePrefix="0" xfId="0">
      <alignment horizontal="center" vertical="center" wrapText="1"/>
    </xf>
    <xf numFmtId="4" fontId="2" fillId="3" borderId="33" applyAlignment="1" pivotButton="0" quotePrefix="0" xfId="0">
      <alignment horizontal="center" vertical="center" wrapText="1"/>
    </xf>
    <xf numFmtId="4" fontId="2" fillId="3" borderId="34" applyAlignment="1" pivotButton="0" quotePrefix="0" xfId="0">
      <alignment horizontal="center" vertical="center" wrapText="1"/>
    </xf>
    <xf numFmtId="4" fontId="4" fillId="0" borderId="2" applyAlignment="1" pivotButton="0" quotePrefix="0" xfId="0">
      <alignment horizontal="center" vertical="center" wrapText="1"/>
    </xf>
    <xf numFmtId="4" fontId="4" fillId="0" borderId="5" applyAlignment="1" pivotButton="0" quotePrefix="0" xfId="0">
      <alignment horizontal="center" vertical="center" wrapText="1"/>
    </xf>
    <xf numFmtId="4" fontId="4" fillId="0" borderId="3" applyAlignment="1" pivotButton="0" quotePrefix="0" xfId="0">
      <alignment horizontal="center" vertical="center" wrapText="1"/>
    </xf>
    <xf numFmtId="4" fontId="4" fillId="0" borderId="10" applyAlignment="1" pivotButton="0" quotePrefix="0" xfId="0">
      <alignment horizontal="center" vertical="center" wrapText="1"/>
    </xf>
    <xf numFmtId="4" fontId="2" fillId="3" borderId="31" applyAlignment="1" pivotButton="0" quotePrefix="0" xfId="0">
      <alignment horizontal="center" vertical="center" wrapText="1"/>
    </xf>
    <xf numFmtId="4" fontId="2" fillId="3" borderId="32" applyAlignment="1" pivotButton="0" quotePrefix="0" xfId="0">
      <alignment horizontal="center" vertical="center" wrapText="1"/>
    </xf>
    <xf numFmtId="3" fontId="6" fillId="2" borderId="6" applyAlignment="1" pivotButton="0" quotePrefix="0" xfId="0">
      <alignment horizontal="left" vertical="top" wrapText="1"/>
    </xf>
    <xf numFmtId="3" fontId="6" fillId="2" borderId="0" applyAlignment="1" pivotButton="0" quotePrefix="0" xfId="0">
      <alignment horizontal="left" vertical="top" wrapText="1"/>
    </xf>
    <xf numFmtId="3" fontId="6" fillId="2" borderId="8" applyAlignment="1" pivotButton="0" quotePrefix="0" xfId="0">
      <alignment horizontal="left" vertical="top" wrapText="1"/>
    </xf>
    <xf numFmtId="0" fontId="2" fillId="0" borderId="3" applyAlignment="1" pivotButton="0" quotePrefix="0" xfId="0">
      <alignment horizontal="left" vertical="top" wrapText="1"/>
    </xf>
    <xf numFmtId="0" fontId="2" fillId="0" borderId="9" applyAlignment="1" pivotButton="0" quotePrefix="0" xfId="0">
      <alignment horizontal="left" vertical="top" wrapText="1"/>
    </xf>
    <xf numFmtId="0" fontId="2" fillId="0" borderId="10" applyAlignment="1" pivotButton="0" quotePrefix="0" xfId="0">
      <alignment horizontal="left" vertical="top" wrapText="1"/>
    </xf>
    <xf numFmtId="0" fontId="2" fillId="3" borderId="31" applyAlignment="1" pivotButton="0" quotePrefix="0" xfId="0">
      <alignment horizontal="center" vertical="center" wrapText="1"/>
    </xf>
    <xf numFmtId="0" fontId="2" fillId="3" borderId="32" applyAlignment="1" pivotButton="0" quotePrefix="0" xfId="0">
      <alignment horizontal="center" vertical="center" wrapText="1"/>
    </xf>
    <xf numFmtId="0" fontId="35" fillId="6" borderId="18" applyAlignment="1" applyProtection="1" pivotButton="0" quotePrefix="0" xfId="0">
      <alignment horizontal="center" vertical="center"/>
      <protection locked="0" hidden="0"/>
    </xf>
    <xf numFmtId="0" fontId="35" fillId="6" borderId="38" applyAlignment="1" applyProtection="1" pivotButton="0" quotePrefix="0" xfId="0">
      <alignment horizontal="center" vertical="center"/>
      <protection locked="0" hidden="0"/>
    </xf>
    <xf numFmtId="0" fontId="36" fillId="3" borderId="3" applyAlignment="1" pivotButton="0" quotePrefix="0" xfId="0">
      <alignment horizontal="center" wrapText="1"/>
    </xf>
    <xf numFmtId="0" fontId="36" fillId="3" borderId="9" applyAlignment="1" pivotButton="0" quotePrefix="0" xfId="0">
      <alignment horizontal="center" wrapText="1"/>
    </xf>
    <xf numFmtId="0" fontId="36" fillId="3" borderId="10" applyAlignment="1" pivotButton="0" quotePrefix="0" xfId="0">
      <alignment horizontal="center" wrapText="1"/>
    </xf>
    <xf numFmtId="0" fontId="33" fillId="3" borderId="3" applyAlignment="1" pivotButton="0" quotePrefix="0" xfId="0">
      <alignment horizontal="center" vertical="center" wrapText="1"/>
    </xf>
    <xf numFmtId="0" fontId="33" fillId="3" borderId="9" applyAlignment="1" pivotButton="0" quotePrefix="0" xfId="0">
      <alignment horizontal="center" vertical="center" wrapText="1"/>
    </xf>
    <xf numFmtId="0" fontId="33" fillId="3" borderId="10" applyAlignment="1" pivotButton="0" quotePrefix="0" xfId="0">
      <alignment horizontal="center" vertical="center" wrapText="1"/>
    </xf>
    <xf numFmtId="0" fontId="33" fillId="6" borderId="3" applyAlignment="1" pivotButton="0" quotePrefix="0" xfId="0">
      <alignment horizontal="center" vertical="center" wrapText="1"/>
    </xf>
    <xf numFmtId="0" fontId="33" fillId="6" borderId="9" applyAlignment="1" pivotButton="0" quotePrefix="0" xfId="0">
      <alignment horizontal="center" vertical="center" wrapText="1"/>
    </xf>
    <xf numFmtId="0" fontId="33" fillId="6" borderId="10" applyAlignment="1" pivotButton="0" quotePrefix="0" xfId="0">
      <alignment horizontal="center" vertical="center" wrapText="1"/>
    </xf>
    <xf numFmtId="0" fontId="28" fillId="4" borderId="22" applyAlignment="1" applyProtection="1" pivotButton="0" quotePrefix="0" xfId="0">
      <alignment horizontal="center" vertical="center" wrapText="1"/>
      <protection locked="0" hidden="0"/>
    </xf>
    <xf numFmtId="0" fontId="28" fillId="4" borderId="21" applyAlignment="1" applyProtection="1" pivotButton="0" quotePrefix="0" xfId="0">
      <alignment horizontal="center" vertical="center" wrapText="1"/>
      <protection locked="0" hidden="0"/>
    </xf>
    <xf numFmtId="0" fontId="26" fillId="6" borderId="2" applyAlignment="1" pivotButton="0" quotePrefix="0" xfId="0">
      <alignment horizontal="center" wrapText="1"/>
    </xf>
    <xf numFmtId="0" fontId="26" fillId="6" borderId="4" applyAlignment="1" pivotButton="0" quotePrefix="0" xfId="0">
      <alignment horizontal="center" wrapText="1"/>
    </xf>
    <xf numFmtId="0" fontId="26" fillId="6" borderId="5" applyAlignment="1" pivotButton="0" quotePrefix="0" xfId="0">
      <alignment horizontal="center" wrapText="1"/>
    </xf>
    <xf numFmtId="0" fontId="26" fillId="3" borderId="2" applyAlignment="1" pivotButton="0" quotePrefix="0" xfId="0">
      <alignment horizontal="center" wrapText="1"/>
    </xf>
    <xf numFmtId="0" fontId="26" fillId="3" borderId="4" applyAlignment="1" pivotButton="0" quotePrefix="0" xfId="0">
      <alignment horizontal="center" wrapText="1"/>
    </xf>
    <xf numFmtId="0" fontId="26" fillId="3" borderId="5" applyAlignment="1" pivotButton="0" quotePrefix="0" xfId="0">
      <alignment horizontal="center" wrapText="1"/>
    </xf>
    <xf numFmtId="0" fontId="34" fillId="6" borderId="3" applyAlignment="1" pivotButton="0" quotePrefix="0" xfId="0">
      <alignment horizontal="center" wrapText="1"/>
    </xf>
    <xf numFmtId="0" fontId="34" fillId="6" borderId="9" applyAlignment="1" pivotButton="0" quotePrefix="0" xfId="0">
      <alignment horizontal="center" wrapText="1"/>
    </xf>
    <xf numFmtId="0" fontId="34" fillId="6" borderId="10" applyAlignment="1" pivotButton="0" quotePrefix="0" xfId="0">
      <alignment horizontal="center" wrapText="1"/>
    </xf>
    <xf numFmtId="0" fontId="21" fillId="8" borderId="18" applyAlignment="1" applyProtection="1" pivotButton="0" quotePrefix="0" xfId="0">
      <alignment horizontal="center" vertical="center"/>
      <protection locked="0" hidden="0"/>
    </xf>
    <xf numFmtId="0" fontId="21" fillId="8" borderId="38" applyAlignment="1" applyProtection="1" pivotButton="0" quotePrefix="0" xfId="0">
      <alignment horizontal="center" vertical="center"/>
      <protection locked="0" hidden="0"/>
    </xf>
    <xf numFmtId="0" fontId="21" fillId="8" borderId="35" applyAlignment="1" applyProtection="1" pivotButton="0" quotePrefix="0" xfId="0">
      <alignment horizontal="center" vertical="center"/>
      <protection locked="0" hidden="0"/>
    </xf>
    <xf numFmtId="0" fontId="20" fillId="0" borderId="18" applyAlignment="1" applyProtection="1" pivotButton="0" quotePrefix="0" xfId="0">
      <alignment horizontal="center"/>
      <protection locked="0" hidden="0"/>
    </xf>
    <xf numFmtId="0" fontId="20" fillId="0" borderId="38" applyAlignment="1" applyProtection="1" pivotButton="0" quotePrefix="0" xfId="0">
      <alignment horizontal="center"/>
      <protection locked="0" hidden="0"/>
    </xf>
    <xf numFmtId="0" fontId="20" fillId="0" borderId="35" applyAlignment="1" applyProtection="1" pivotButton="0" quotePrefix="0" xfId="0">
      <alignment horizontal="center"/>
      <protection locked="0" hidden="0"/>
    </xf>
    <xf numFmtId="0" fontId="19" fillId="0" borderId="16" applyAlignment="1" applyProtection="1" pivotButton="0" quotePrefix="0" xfId="0">
      <alignment horizontal="center" wrapText="1"/>
      <protection locked="0" hidden="0"/>
    </xf>
    <xf numFmtId="0" fontId="19" fillId="0" borderId="46" applyAlignment="1" applyProtection="1" pivotButton="0" quotePrefix="0" xfId="0">
      <alignment horizontal="center" wrapText="1"/>
      <protection locked="0" hidden="0"/>
    </xf>
    <xf numFmtId="0" fontId="19" fillId="0" borderId="16" applyAlignment="1" applyProtection="1" pivotButton="0" quotePrefix="0" xfId="0">
      <alignment horizontal="center"/>
      <protection locked="0" hidden="0"/>
    </xf>
    <xf numFmtId="0" fontId="19" fillId="0" borderId="46" applyAlignment="1" applyProtection="1" pivotButton="0" quotePrefix="0" xfId="0">
      <alignment horizontal="center"/>
      <protection locked="0" hidden="0"/>
    </xf>
    <xf numFmtId="0" fontId="19" fillId="0" borderId="18" applyAlignment="1" applyProtection="1" pivotButton="0" quotePrefix="0" xfId="0">
      <alignment horizontal="center"/>
      <protection locked="0" hidden="0"/>
    </xf>
    <xf numFmtId="0" fontId="19" fillId="0" borderId="38" applyAlignment="1" applyProtection="1" pivotButton="0" quotePrefix="0" xfId="0">
      <alignment horizontal="center"/>
      <protection locked="0" hidden="0"/>
    </xf>
    <xf numFmtId="0" fontId="19" fillId="0" borderId="9" applyAlignment="1" applyProtection="1" pivotButton="0" quotePrefix="0" xfId="0">
      <alignment horizontal="center"/>
      <protection locked="0" hidden="0"/>
    </xf>
    <xf numFmtId="0" fontId="19" fillId="0" borderId="35" applyAlignment="1" applyProtection="1" pivotButton="0" quotePrefix="0" xfId="0">
      <alignment horizontal="center"/>
      <protection locked="0" hidden="0"/>
    </xf>
    <xf numFmtId="0" fontId="22" fillId="0" borderId="47" applyAlignment="1" applyProtection="1" pivotButton="0" quotePrefix="0" xfId="0">
      <alignment horizontal="center"/>
      <protection locked="0" hidden="0"/>
    </xf>
    <xf numFmtId="0" fontId="22" fillId="0" borderId="16" applyAlignment="1" applyProtection="1" pivotButton="0" quotePrefix="0" xfId="0">
      <alignment horizontal="center"/>
      <protection locked="0" hidden="0"/>
    </xf>
    <xf numFmtId="0" fontId="19" fillId="0" borderId="47" applyAlignment="1" applyProtection="1" pivotButton="0" quotePrefix="0" xfId="0">
      <alignment horizontal="center"/>
      <protection locked="0" hidden="0"/>
    </xf>
    <xf numFmtId="0" fontId="21" fillId="8" borderId="18" applyAlignment="1" applyProtection="1" pivotButton="0" quotePrefix="0" xfId="0">
      <alignment horizontal="left" vertical="center"/>
      <protection locked="0" hidden="0"/>
    </xf>
    <xf numFmtId="0" fontId="21" fillId="8" borderId="38" applyAlignment="1" applyProtection="1" pivotButton="0" quotePrefix="0" xfId="0">
      <alignment horizontal="left" vertical="center"/>
      <protection locked="0" hidden="0"/>
    </xf>
    <xf numFmtId="0" fontId="21" fillId="8" borderId="35" applyAlignment="1" applyProtection="1" pivotButton="0" quotePrefix="0" xfId="0">
      <alignment horizontal="left" vertical="center"/>
      <protection locked="0" hidden="0"/>
    </xf>
    <xf numFmtId="0" fontId="21" fillId="8" borderId="43" applyAlignment="1" applyProtection="1" pivotButton="0" quotePrefix="0" xfId="0">
      <alignment horizontal="left" vertical="center"/>
      <protection locked="0" hidden="0"/>
    </xf>
    <xf numFmtId="0" fontId="21" fillId="8" borderId="44" applyAlignment="1" applyProtection="1" pivotButton="0" quotePrefix="0" xfId="0">
      <alignment horizontal="left" vertical="center"/>
      <protection locked="0" hidden="0"/>
    </xf>
    <xf numFmtId="0" fontId="21" fillId="8" borderId="45" applyAlignment="1" applyProtection="1" pivotButton="0" quotePrefix="0" xfId="0">
      <alignment horizontal="left" vertical="center"/>
      <protection locked="0" hidden="0"/>
    </xf>
    <xf numFmtId="0" fontId="28" fillId="6" borderId="6" applyAlignment="1" pivotButton="0" quotePrefix="0" xfId="0">
      <alignment horizontal="center" vertical="center" wrapText="1"/>
    </xf>
    <xf numFmtId="0" fontId="28" fillId="6" borderId="0" applyAlignment="1" pivotButton="0" quotePrefix="0" xfId="0">
      <alignment horizontal="center" vertical="center" wrapText="1"/>
    </xf>
    <xf numFmtId="0" fontId="19" fillId="6" borderId="40" applyAlignment="1" pivotButton="0" quotePrefix="0" xfId="0">
      <alignment horizontal="left" vertical="top" wrapText="1"/>
    </xf>
    <xf numFmtId="0" fontId="19" fillId="6" borderId="4" applyAlignment="1" pivotButton="0" quotePrefix="0" xfId="0">
      <alignment horizontal="left" vertical="top" wrapText="1"/>
    </xf>
    <xf numFmtId="0" fontId="19" fillId="6" borderId="5" applyAlignment="1" pivotButton="0" quotePrefix="0" xfId="0">
      <alignment horizontal="left" vertical="top" wrapText="1"/>
    </xf>
    <xf numFmtId="0" fontId="19" fillId="6" borderId="41" applyAlignment="1" pivotButton="0" quotePrefix="0" xfId="0">
      <alignment horizontal="left" vertical="top" wrapText="1"/>
    </xf>
    <xf numFmtId="0" fontId="19" fillId="6" borderId="0" applyAlignment="1" pivotButton="0" quotePrefix="0" xfId="0">
      <alignment horizontal="left" vertical="top" wrapText="1"/>
    </xf>
    <xf numFmtId="0" fontId="19" fillId="6" borderId="8" applyAlignment="1" pivotButton="0" quotePrefix="0" xfId="0">
      <alignment horizontal="left" vertical="top" wrapText="1"/>
    </xf>
    <xf numFmtId="0" fontId="19" fillId="6" borderId="42" applyAlignment="1" pivotButton="0" quotePrefix="0" xfId="0">
      <alignment horizontal="left" vertical="top" wrapText="1"/>
    </xf>
    <xf numFmtId="0" fontId="19" fillId="6" borderId="9" applyAlignment="1" pivotButton="0" quotePrefix="0" xfId="0">
      <alignment horizontal="left" vertical="top" wrapText="1"/>
    </xf>
    <xf numFmtId="0" fontId="19" fillId="6" borderId="10" applyAlignment="1" pivotButton="0" quotePrefix="0" xfId="0">
      <alignment horizontal="left" vertical="top" wrapText="1"/>
    </xf>
    <xf numFmtId="0" fontId="21" fillId="8" borderId="2" applyAlignment="1" applyProtection="1" pivotButton="0" quotePrefix="0" xfId="0">
      <alignment horizontal="left" vertical="top"/>
      <protection locked="0" hidden="0"/>
    </xf>
    <xf numFmtId="0" fontId="21" fillId="8" borderId="4" applyAlignment="1" applyProtection="1" pivotButton="0" quotePrefix="0" xfId="0">
      <alignment horizontal="left" vertical="top"/>
      <protection locked="0" hidden="0"/>
    </xf>
    <xf numFmtId="0" fontId="21" fillId="8" borderId="5" applyAlignment="1" applyProtection="1" pivotButton="0" quotePrefix="0" xfId="0">
      <alignment horizontal="left" vertical="top"/>
      <protection locked="0" hidden="0"/>
    </xf>
    <xf numFmtId="0" fontId="24" fillId="0" borderId="18" applyAlignment="1" applyProtection="1" pivotButton="0" quotePrefix="0" xfId="0">
      <alignment horizontal="center"/>
      <protection locked="0" hidden="0"/>
    </xf>
    <xf numFmtId="0" fontId="24" fillId="0" borderId="38" applyAlignment="1" applyProtection="1" pivotButton="0" quotePrefix="0" xfId="0">
      <alignment horizontal="center"/>
      <protection locked="0" hidden="0"/>
    </xf>
    <xf numFmtId="0" fontId="24" fillId="0" borderId="35" applyAlignment="1" applyProtection="1" pivotButton="0" quotePrefix="0" xfId="0">
      <alignment horizontal="center"/>
      <protection locked="0" hidden="0"/>
    </xf>
    <xf numFmtId="0" fontId="21" fillId="8" borderId="43" applyAlignment="1" applyProtection="1" pivotButton="0" quotePrefix="0" xfId="0">
      <alignment horizontal="center" vertical="center"/>
      <protection locked="0" hidden="0"/>
    </xf>
    <xf numFmtId="0" fontId="21" fillId="8" borderId="44" applyAlignment="1" applyProtection="1" pivotButton="0" quotePrefix="0" xfId="0">
      <alignment horizontal="center" vertical="center"/>
      <protection locked="0" hidden="0"/>
    </xf>
    <xf numFmtId="0" fontId="21" fillId="8" borderId="45" applyAlignment="1" applyProtection="1" pivotButton="0" quotePrefix="0" xfId="0">
      <alignment horizontal="center" vertical="center"/>
      <protection locked="0" hidden="0"/>
    </xf>
    <xf numFmtId="15" fontId="19" fillId="0" borderId="48" applyAlignment="1" applyProtection="1" pivotButton="0" quotePrefix="0" xfId="0">
      <alignment horizontal="center"/>
      <protection locked="0" hidden="0"/>
    </xf>
    <xf numFmtId="15" fontId="19" fillId="0" borderId="49" applyAlignment="1" applyProtection="1" pivotButton="0" quotePrefix="0" xfId="0">
      <alignment horizontal="center"/>
      <protection locked="0" hidden="0"/>
    </xf>
    <xf numFmtId="15" fontId="19" fillId="0" borderId="50" applyAlignment="1" applyProtection="1" pivotButton="0" quotePrefix="0" xfId="0">
      <alignment horizontal="center"/>
      <protection locked="0" hidden="0"/>
    </xf>
    <xf numFmtId="15" fontId="19" fillId="0" borderId="3" applyAlignment="1" applyProtection="1" pivotButton="0" quotePrefix="0" xfId="0">
      <alignment horizontal="center"/>
      <protection locked="0" hidden="0"/>
    </xf>
    <xf numFmtId="15" fontId="19" fillId="0" borderId="9" applyAlignment="1" applyProtection="1" pivotButton="0" quotePrefix="0" xfId="0">
      <alignment horizontal="center"/>
      <protection locked="0" hidden="0"/>
    </xf>
    <xf numFmtId="15" fontId="19" fillId="0" borderId="10" applyAlignment="1" applyProtection="1" pivotButton="0" quotePrefix="0" xfId="0">
      <alignment horizontal="center"/>
      <protection locked="0" hidden="0"/>
    </xf>
    <xf numFmtId="0" fontId="22" fillId="8" borderId="18" applyAlignment="1" applyProtection="1" pivotButton="0" quotePrefix="0" xfId="0">
      <alignment horizontal="center" vertical="center"/>
      <protection locked="0" hidden="0"/>
    </xf>
    <xf numFmtId="0" fontId="22" fillId="8" borderId="38" applyAlignment="1" applyProtection="1" pivotButton="0" quotePrefix="0" xfId="0">
      <alignment horizontal="center" vertical="center"/>
      <protection locked="0" hidden="0"/>
    </xf>
    <xf numFmtId="0" fontId="22" fillId="8" borderId="35" applyAlignment="1" applyProtection="1" pivotButton="0" quotePrefix="0" xfId="0">
      <alignment horizontal="center" vertical="center"/>
      <protection locked="0" hidden="0"/>
    </xf>
    <xf numFmtId="15" fontId="19" fillId="0" borderId="47" applyAlignment="1" applyProtection="1" pivotButton="0" quotePrefix="0" xfId="0">
      <alignment horizontal="center"/>
      <protection locked="0" hidden="0"/>
    </xf>
    <xf numFmtId="15" fontId="19" fillId="0" borderId="16" applyAlignment="1" applyProtection="1" pivotButton="0" quotePrefix="0" xfId="0">
      <alignment horizontal="center"/>
      <protection locked="0" hidden="0"/>
    </xf>
    <xf numFmtId="15" fontId="19" fillId="0" borderId="51" applyAlignment="1" applyProtection="1" pivotButton="0" quotePrefix="0" xfId="0">
      <alignment horizontal="center"/>
      <protection locked="0" hidden="0"/>
    </xf>
    <xf numFmtId="0" fontId="33" fillId="6" borderId="3" applyAlignment="1" pivotButton="0" quotePrefix="0" xfId="0">
      <alignment horizontal="center" wrapText="1"/>
    </xf>
    <xf numFmtId="0" fontId="33" fillId="6" borderId="9" applyAlignment="1" pivotButton="0" quotePrefix="0" xfId="0">
      <alignment horizontal="center" wrapText="1"/>
    </xf>
    <xf numFmtId="0" fontId="33" fillId="6" borderId="10" applyAlignment="1" pivotButton="0" quotePrefix="0" xfId="0">
      <alignment horizontal="center" wrapText="1"/>
    </xf>
    <xf numFmtId="43" fontId="6" fillId="0" borderId="0" pivotButton="0" quotePrefix="0" xfId="1"/>
    <xf numFmtId="0" fontId="2" fillId="3" borderId="7" applyAlignment="1" pivotButton="0" quotePrefix="0" xfId="0">
      <alignment horizontal="center"/>
    </xf>
    <xf numFmtId="0" fontId="0" fillId="0" borderId="35" pivotButton="0" quotePrefix="0" xfId="0"/>
    <xf numFmtId="3" fontId="2" fillId="0" borderId="33" applyAlignment="1" pivotButton="0" quotePrefix="0" xfId="0">
      <alignment horizontal="center"/>
    </xf>
    <xf numFmtId="0" fontId="0" fillId="0" borderId="36" pivotButton="0" quotePrefix="0" xfId="0"/>
    <xf numFmtId="3" fontId="2" fillId="0" borderId="56" applyAlignment="1" pivotButton="0" quotePrefix="0" xfId="0">
      <alignment horizontal="center"/>
    </xf>
    <xf numFmtId="0" fontId="0" fillId="0" borderId="37" pivotButton="0" quotePrefix="0" xfId="0"/>
    <xf numFmtId="3" fontId="1" fillId="0" borderId="56" applyAlignment="1" pivotButton="0" quotePrefix="0" xfId="0">
      <alignment horizontal="center"/>
    </xf>
    <xf numFmtId="166" fontId="2" fillId="0" borderId="14" applyAlignment="1" pivotButton="0" quotePrefix="0" xfId="0">
      <alignment horizontal="right"/>
    </xf>
    <xf numFmtId="3" fontId="2" fillId="0" borderId="34" applyAlignment="1" pivotButton="0" quotePrefix="0" xfId="0">
      <alignment horizontal="center"/>
    </xf>
    <xf numFmtId="0" fontId="0" fillId="0" borderId="39" pivotButton="0" quotePrefix="0" xfId="0"/>
    <xf numFmtId="166" fontId="2" fillId="0" borderId="19" applyAlignment="1" pivotButton="0" quotePrefix="0" xfId="0">
      <alignment horizontal="right"/>
    </xf>
    <xf numFmtId="166" fontId="9" fillId="0" borderId="0" applyAlignment="1" pivotButton="0" quotePrefix="0" xfId="0">
      <alignment horizontal="right"/>
    </xf>
    <xf numFmtId="0" fontId="0" fillId="0" borderId="38" pivotButton="0" quotePrefix="0" xfId="0"/>
    <xf numFmtId="168" fontId="1" fillId="0" borderId="0" pivotButton="0" quotePrefix="0" xfId="0"/>
    <xf numFmtId="3" fontId="6" fillId="2" borderId="22" applyAlignment="1" pivotButton="0" quotePrefix="0" xfId="0">
      <alignment horizontal="left" vertical="top" wrapText="1"/>
    </xf>
    <xf numFmtId="0" fontId="0" fillId="0" borderId="4" pivotButton="0" quotePrefix="0" xfId="0"/>
    <xf numFmtId="0" fontId="0" fillId="0" borderId="5" pivotButton="0" quotePrefix="0" xfId="0"/>
    <xf numFmtId="3" fontId="2" fillId="2" borderId="20" applyAlignment="1" pivotButton="0" quotePrefix="0" xfId="0">
      <alignment horizontal="left" vertical="top" wrapText="1"/>
    </xf>
    <xf numFmtId="0" fontId="0" fillId="0" borderId="8" pivotButton="0" quotePrefix="0" xfId="0"/>
    <xf numFmtId="3" fontId="6" fillId="2" borderId="20" applyAlignment="1" pivotButton="0" quotePrefix="0" xfId="0">
      <alignment horizontal="left" vertical="top" wrapText="1"/>
    </xf>
    <xf numFmtId="164" fontId="1" fillId="0" borderId="0" pivotButton="0" quotePrefix="0" xfId="0"/>
    <xf numFmtId="0" fontId="2" fillId="0" borderId="21" applyAlignment="1" pivotButton="0" quotePrefix="0" xfId="0">
      <alignment horizontal="left" vertical="top" wrapText="1"/>
    </xf>
    <xf numFmtId="0" fontId="0" fillId="0" borderId="9" pivotButton="0" quotePrefix="0" xfId="0"/>
    <xf numFmtId="0" fontId="0" fillId="0" borderId="10" pivotButton="0" quotePrefix="0" xfId="0"/>
    <xf numFmtId="165" fontId="1" fillId="0" borderId="0" pivotButton="0" quotePrefix="0" xfId="0"/>
    <xf numFmtId="4" fontId="4" fillId="0" borderId="7" applyAlignment="1" pivotButton="0" quotePrefix="0" xfId="0">
      <alignment horizontal="center" vertical="center" wrapText="1"/>
    </xf>
    <xf numFmtId="0" fontId="32" fillId="0" borderId="7" applyAlignment="1" pivotButton="0" quotePrefix="0" xfId="0">
      <alignment horizontal="center" vertical="center" wrapText="1"/>
    </xf>
    <xf numFmtId="0" fontId="0" fillId="0" borderId="3" pivotButton="0" quotePrefix="0" xfId="0"/>
    <xf numFmtId="0" fontId="2" fillId="3" borderId="52" applyAlignment="1" pivotButton="0" quotePrefix="0" xfId="0">
      <alignment horizontal="center" vertical="center" wrapText="1"/>
    </xf>
    <xf numFmtId="10" fontId="2" fillId="3" borderId="52" applyAlignment="1" pivotButton="0" quotePrefix="0" xfId="0">
      <alignment horizontal="center" vertical="center" wrapText="1"/>
    </xf>
    <xf numFmtId="4" fontId="2" fillId="3" borderId="52" applyAlignment="1" pivotButton="0" quotePrefix="0" xfId="0">
      <alignment horizontal="center" vertical="center" wrapText="1"/>
    </xf>
    <xf numFmtId="4" fontId="2" fillId="3" borderId="54" applyAlignment="1" pivotButton="0" quotePrefix="0" xfId="0">
      <alignment horizontal="center" vertical="center" wrapText="1"/>
    </xf>
    <xf numFmtId="4" fontId="2" fillId="3" borderId="55" applyAlignment="1" pivotButton="0" quotePrefix="0" xfId="0">
      <alignment horizontal="center" vertical="center" wrapText="1"/>
    </xf>
    <xf numFmtId="4" fontId="2" fillId="3" borderId="18" applyAlignment="1" pivotButton="0" quotePrefix="0" xfId="0">
      <alignment horizontal="center" vertical="center" wrapText="1"/>
    </xf>
    <xf numFmtId="4" fontId="2" fillId="3" borderId="7" applyAlignment="1" pivotButton="0" quotePrefix="0" xfId="0">
      <alignment horizontal="center" vertical="center"/>
    </xf>
    <xf numFmtId="0" fontId="2" fillId="6" borderId="7" applyAlignment="1" pivotButton="0" quotePrefix="0" xfId="0">
      <alignment horizontal="center" vertical="center" wrapText="1"/>
    </xf>
    <xf numFmtId="0" fontId="0" fillId="0" borderId="32" pivotButton="0" quotePrefix="0" xfId="0"/>
    <xf numFmtId="0" fontId="0" fillId="0" borderId="19" pivotButton="0" quotePrefix="0" xfId="0"/>
    <xf numFmtId="0" fontId="0" fillId="0" borderId="34" pivotButton="0" quotePrefix="0" xfId="0"/>
    <xf numFmtId="0" fontId="0" fillId="0" borderId="21" pivotButton="0" quotePrefix="0" xfId="0"/>
    <xf numFmtId="166" fontId="1" fillId="0" borderId="29" pivotButton="0" quotePrefix="0" xfId="0"/>
    <xf numFmtId="169" fontId="11" fillId="7" borderId="2" applyAlignment="1" applyProtection="1" pivotButton="0" quotePrefix="0" xfId="0">
      <alignment horizontal="right"/>
      <protection locked="0" hidden="0"/>
    </xf>
    <xf numFmtId="169" fontId="1" fillId="7" borderId="28" applyAlignment="1" applyProtection="1" pivotButton="0" quotePrefix="0" xfId="0">
      <alignment horizontal="right"/>
      <protection locked="0" hidden="0"/>
    </xf>
    <xf numFmtId="166" fontId="1" fillId="0" borderId="1" pivotButton="0" quotePrefix="0" xfId="0"/>
    <xf numFmtId="169" fontId="11" fillId="7" borderId="23" applyAlignment="1" applyProtection="1" pivotButton="0" quotePrefix="0" xfId="0">
      <alignment horizontal="right"/>
      <protection locked="0" hidden="0"/>
    </xf>
    <xf numFmtId="169" fontId="1" fillId="7" borderId="24" applyAlignment="1" applyProtection="1" pivotButton="0" quotePrefix="0" xfId="0">
      <alignment horizontal="right"/>
      <protection locked="0" hidden="0"/>
    </xf>
    <xf numFmtId="166" fontId="1" fillId="0" borderId="26" pivotButton="0" quotePrefix="0" xfId="0"/>
    <xf numFmtId="169" fontId="11" fillId="7" borderId="25" applyAlignment="1" applyProtection="1" pivotButton="0" quotePrefix="0" xfId="0">
      <alignment horizontal="right"/>
      <protection locked="0" hidden="0"/>
    </xf>
    <xf numFmtId="169" fontId="1" fillId="7" borderId="27" applyAlignment="1" applyProtection="1" pivotButton="0" quotePrefix="0" xfId="0">
      <alignment horizontal="right"/>
      <protection locked="0" hidden="0"/>
    </xf>
    <xf numFmtId="167" fontId="1" fillId="0" borderId="0" pivotButton="0" quotePrefix="0" xfId="0"/>
    <xf numFmtId="0" fontId="21" fillId="8" borderId="7" applyAlignment="1" applyProtection="1" pivotButton="0" quotePrefix="0" xfId="0">
      <alignment horizontal="center" vertical="center"/>
      <protection locked="0" hidden="0"/>
    </xf>
    <xf numFmtId="0" fontId="0" fillId="0" borderId="38" applyProtection="1" pivotButton="0" quotePrefix="0" xfId="0">
      <protection locked="0" hidden="0"/>
    </xf>
    <xf numFmtId="0" fontId="0" fillId="0" borderId="35" applyProtection="1" pivotButton="0" quotePrefix="0" xfId="0">
      <protection locked="0" hidden="0"/>
    </xf>
    <xf numFmtId="0" fontId="20" fillId="0" borderId="7" applyAlignment="1" applyProtection="1" pivotButton="0" quotePrefix="0" xfId="0">
      <alignment horizontal="center"/>
      <protection locked="0" hidden="0"/>
    </xf>
    <xf numFmtId="0" fontId="21" fillId="8" borderId="57" applyAlignment="1" applyProtection="1" pivotButton="0" quotePrefix="0" xfId="0">
      <alignment horizontal="left" vertical="center"/>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21" fillId="8" borderId="7" applyAlignment="1" applyProtection="1" pivotButton="0" quotePrefix="0" xfId="0">
      <alignment horizontal="left" vertical="center"/>
      <protection locked="0" hidden="0"/>
    </xf>
    <xf numFmtId="0" fontId="0" fillId="0" borderId="16" applyProtection="1" pivotButton="0" quotePrefix="0" xfId="0">
      <protection locked="0" hidden="0"/>
    </xf>
    <xf numFmtId="0" fontId="19" fillId="0" borderId="7" applyAlignment="1" applyProtection="1" pivotButton="0" quotePrefix="0" xfId="0">
      <alignment horizontal="center"/>
      <protection locked="0" hidden="0"/>
    </xf>
    <xf numFmtId="0" fontId="0" fillId="0" borderId="46" applyProtection="1" pivotButton="0" quotePrefix="0" xfId="0">
      <protection locked="0" hidden="0"/>
    </xf>
    <xf numFmtId="0" fontId="21" fillId="8" borderId="22" applyAlignment="1" applyProtection="1" pivotButton="0" quotePrefix="0" xfId="0">
      <alignment horizontal="left" vertical="top"/>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4" fillId="0" borderId="7" applyAlignment="1" applyProtection="1" pivotButton="0" quotePrefix="0" xfId="0">
      <alignment horizontal="center"/>
      <protection locked="0" hidden="0"/>
    </xf>
    <xf numFmtId="15" fontId="19" fillId="0" borderId="60" applyAlignment="1" applyProtection="1" pivotButton="0" quotePrefix="0" xfId="0">
      <alignment horizontal="center"/>
      <protection locked="0" hidden="0"/>
    </xf>
    <xf numFmtId="0" fontId="0" fillId="0" borderId="51" applyProtection="1" pivotButton="0" quotePrefix="0" xfId="0">
      <protection locked="0" hidden="0"/>
    </xf>
    <xf numFmtId="0" fontId="21" fillId="8" borderId="57" applyAlignment="1" applyProtection="1" pivotButton="0" quotePrefix="0" xfId="0">
      <alignment horizontal="center" vertical="center"/>
      <protection locked="0" hidden="0"/>
    </xf>
    <xf numFmtId="15" fontId="19" fillId="0" borderId="59" applyAlignment="1" applyProtection="1" pivotButton="0" quotePrefix="0" xfId="0">
      <alignment horizontal="center"/>
      <protection locked="0" hidden="0"/>
    </xf>
    <xf numFmtId="0" fontId="0" fillId="0" borderId="49" applyProtection="1" pivotButton="0" quotePrefix="0" xfId="0">
      <protection locked="0" hidden="0"/>
    </xf>
    <xf numFmtId="0" fontId="0" fillId="0" borderId="50" applyProtection="1" pivotButton="0" quotePrefix="0" xfId="0">
      <protection locked="0" hidden="0"/>
    </xf>
    <xf numFmtId="0" fontId="0" fillId="0" borderId="3"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22" fillId="8" borderId="7" applyAlignment="1" applyProtection="1" pivotButton="0" quotePrefix="0" xfId="0">
      <alignment horizontal="center" vertical="center"/>
      <protection locked="0" hidden="0"/>
    </xf>
    <xf numFmtId="0" fontId="26" fillId="3" borderId="22" applyAlignment="1" pivotButton="0" quotePrefix="0" xfId="0">
      <alignment horizontal="center" wrapText="1"/>
    </xf>
    <xf numFmtId="0" fontId="28" fillId="4" borderId="7" applyAlignment="1" applyProtection="1" pivotButton="0" quotePrefix="0" xfId="0">
      <alignment horizontal="center" vertical="center" wrapText="1"/>
      <protection locked="0" hidden="0"/>
    </xf>
    <xf numFmtId="0" fontId="36" fillId="3" borderId="21" applyAlignment="1" pivotButton="0" quotePrefix="0" xfId="0">
      <alignment horizontal="center" wrapText="1"/>
    </xf>
    <xf numFmtId="0" fontId="0" fillId="0" borderId="21" applyProtection="1" pivotButton="0" quotePrefix="0" xfId="0">
      <protection locked="0" hidden="0"/>
    </xf>
    <xf numFmtId="0" fontId="33" fillId="3" borderId="21" applyAlignment="1" pivotButton="0" quotePrefix="0" xfId="0">
      <alignment horizontal="center" vertical="center" wrapText="1"/>
    </xf>
    <xf numFmtId="0" fontId="26" fillId="6" borderId="22" applyAlignment="1" pivotButton="0" quotePrefix="0" xfId="0">
      <alignment horizontal="center" wrapText="1"/>
    </xf>
    <xf numFmtId="0" fontId="33" fillId="6" borderId="21" applyAlignment="1" pivotButton="0" quotePrefix="0" xfId="0">
      <alignment horizontal="center" vertical="center" wrapText="1"/>
    </xf>
    <xf numFmtId="0" fontId="33" fillId="6" borderId="21" applyAlignment="1" pivotButton="0" quotePrefix="0" xfId="0">
      <alignment horizontal="center" wrapText="1"/>
    </xf>
    <xf numFmtId="0" fontId="34" fillId="6" borderId="21" applyAlignment="1" pivotButton="0" quotePrefix="0" xfId="0">
      <alignment horizontal="center" wrapText="1"/>
    </xf>
    <xf numFmtId="0" fontId="19" fillId="6" borderId="58" applyAlignment="1" pivotButton="0" quotePrefix="0" xfId="0">
      <alignment horizontal="left" vertical="top" wrapText="1"/>
    </xf>
    <xf numFmtId="0" fontId="0" fillId="0" borderId="41" pivotButton="0" quotePrefix="0" xfId="0"/>
    <xf numFmtId="0" fontId="0" fillId="0" borderId="42" pivotButton="0" quotePrefix="0" xfId="0"/>
  </cellXfs>
  <cellStyles count="5">
    <cellStyle name="Normal" xfId="0" builtinId="0"/>
    <cellStyle name="Millares" xfId="1" builtinId="3"/>
    <cellStyle name="Comma 2" xfId="2"/>
    <cellStyle name="Normal 2" xfId="3"/>
    <cellStyle name="Porcentaje" xfId="4" builtinId="5"/>
  </cellStyles>
  <dxfs count="10">
    <dxf>
      <fill>
        <patternFill>
          <bgColor theme="5" tint="0.5999633777886288"/>
        </patternFill>
      </fill>
    </dxf>
    <dxf>
      <font>
        <i val="1"/>
        <strike val="0"/>
      </font>
      <fill>
        <patternFill>
          <bgColor theme="5" tint="0.5999633777886288"/>
        </patternFill>
      </fill>
    </dxf>
    <dxf>
      <fill>
        <patternFill>
          <bgColor theme="5" tint="0.5999633777886288"/>
        </patternFill>
      </fill>
    </dxf>
    <dxf>
      <fill>
        <patternFill>
          <bgColor theme="5" tint="0.5999633777886288"/>
        </patternFill>
      </fill>
    </dxf>
    <dxf>
      <fill>
        <patternFill>
          <bgColor theme="5" tint="0.5999633777886288"/>
        </patternFill>
      </fill>
    </dxf>
    <dxf>
      <border>
        <left style="thin">
          <color indexed="64"/>
        </left>
        <right/>
        <top/>
        <bottom/>
      </border>
    </dxf>
    <dxf>
      <fill>
        <patternFill>
          <bgColor rgb="FFCCFFFF"/>
        </patternFill>
      </fill>
      <border>
        <left style="thin">
          <color indexed="64"/>
        </left>
        <right style="thin">
          <color indexed="64"/>
        </right>
        <top style="thin">
          <color indexed="64"/>
        </top>
        <bottom style="thin">
          <color indexed="64"/>
        </bottom>
      </border>
    </dxf>
    <dxf>
      <fill>
        <patternFill>
          <bgColor theme="5" tint="0.5999633777886288"/>
        </patternFill>
      </fill>
    </dxf>
    <dxf>
      <fill>
        <patternFill>
          <bgColor theme="5" tint="0.5999633777886288"/>
        </patternFill>
      </fill>
    </dxf>
    <dxf>
      <fill>
        <patternFill>
          <bgColor theme="5"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Z257"/>
  <sheetViews>
    <sheetView showGridLines="0" tabSelected="1" topLeftCell="A7" zoomScale="70" zoomScaleNormal="70" workbookViewId="0">
      <selection activeCell="G9" sqref="G9"/>
    </sheetView>
  </sheetViews>
  <sheetFormatPr baseColWidth="10" defaultColWidth="9.69140625" defaultRowHeight="15.5"/>
  <cols>
    <col width="21.53515625" customWidth="1" style="1" min="1" max="1"/>
    <col width="17.69140625" bestFit="1" customWidth="1" style="22" min="2" max="2"/>
    <col width="12.4609375" customWidth="1" style="1" min="3" max="3"/>
    <col width="9.69140625" customWidth="1" style="1" min="4" max="6"/>
    <col width="13.4609375" bestFit="1" customWidth="1" style="1" min="7" max="7"/>
    <col width="10.69140625" bestFit="1" customWidth="1" style="1" min="8" max="8"/>
    <col width="9.69140625" customWidth="1" style="1" min="9" max="9"/>
    <col width="13.4609375" bestFit="1" customWidth="1" style="1" min="10" max="10"/>
    <col width="22.4609375" customWidth="1" style="1" min="11" max="11"/>
    <col width="3.69140625" customWidth="1" style="1" min="12" max="12"/>
    <col width="13.69140625" bestFit="1" customWidth="1" style="1" min="13" max="14"/>
    <col width="10.07421875" customWidth="1" style="1" min="15" max="15"/>
    <col width="12.69140625" customWidth="1" style="1" min="16" max="16"/>
    <col width="12.84375" customWidth="1" style="1" min="17" max="17"/>
    <col width="14" customWidth="1" style="1" min="18" max="18"/>
    <col width="13.23046875" customWidth="1" style="1" min="19" max="19"/>
    <col width="18.4609375" customWidth="1" style="1" min="20" max="20"/>
    <col width="9.69140625" customWidth="1" style="1" min="21" max="21"/>
    <col width="20.69140625" bestFit="1" customWidth="1" style="1" min="22" max="22"/>
    <col width="29" bestFit="1" customWidth="1" style="1" min="23" max="23"/>
    <col width="9.69140625" customWidth="1" style="1" min="24" max="24"/>
    <col width="13" customWidth="1" style="1" min="25" max="25"/>
    <col width="14.23046875" customWidth="1" style="1" min="26" max="26"/>
    <col width="9.69140625" customWidth="1" style="1" min="27" max="16384"/>
  </cols>
  <sheetData>
    <row r="1" ht="18" customHeight="1">
      <c r="A1" s="61" t="inlineStr">
        <is>
          <t>Updated Feb,23</t>
        </is>
      </c>
      <c r="D1" s="2" t="n"/>
      <c r="E1" s="2" t="n"/>
      <c r="F1" s="2" t="n"/>
      <c r="G1" s="3" t="n"/>
      <c r="H1" s="3" t="n"/>
      <c r="I1" s="2" t="n"/>
      <c r="J1" s="2" t="n"/>
      <c r="K1" s="2" t="n"/>
      <c r="L1" s="4" t="n"/>
      <c r="M1" s="2" t="n"/>
      <c r="N1" s="2" t="n"/>
      <c r="O1" s="5" t="n"/>
    </row>
    <row r="2">
      <c r="D2" s="2" t="n"/>
      <c r="E2" s="2" t="n"/>
      <c r="F2" s="2" t="n"/>
      <c r="G2" s="3" t="n"/>
      <c r="H2" s="3" t="n"/>
    </row>
    <row r="3" ht="18" customHeight="1">
      <c r="D3" s="2" t="n"/>
      <c r="E3" s="63" t="n"/>
      <c r="F3" s="63" t="n"/>
      <c r="G3" s="3" t="n"/>
      <c r="H3" s="6" t="n"/>
      <c r="M3" s="78" t="n"/>
      <c r="N3" s="70" t="n"/>
      <c r="O3" s="79" t="n"/>
    </row>
    <row r="4" ht="18" customHeight="1" thickBot="1">
      <c r="D4" s="2" t="n"/>
      <c r="E4" s="62" t="n"/>
      <c r="F4" s="272" t="n"/>
      <c r="G4" s="3" t="n"/>
      <c r="H4" s="7" t="n"/>
      <c r="M4" s="80" t="n"/>
      <c r="N4" s="81" t="n"/>
      <c r="O4" s="82" t="n"/>
    </row>
    <row r="5" ht="18" customHeight="1" thickBot="1">
      <c r="A5" s="273" t="inlineStr">
        <is>
          <t>Customer Information</t>
        </is>
      </c>
      <c r="B5" s="274" t="n"/>
      <c r="C5" s="68" t="n"/>
      <c r="D5" s="2" t="n"/>
      <c r="E5" s="18" t="inlineStr">
        <is>
          <t>Total Revenue / Discount Information</t>
        </is>
      </c>
      <c r="F5" s="19" t="n"/>
      <c r="G5" s="20" t="n"/>
      <c r="H5" s="8" t="n"/>
      <c r="M5" s="83" t="n"/>
      <c r="N5" s="73" t="n"/>
      <c r="O5" s="84" t="n"/>
    </row>
    <row r="6">
      <c r="A6" s="89" t="inlineStr">
        <is>
          <t>Name</t>
        </is>
      </c>
      <c r="B6" s="99">
        <f>Factsheet!B7</f>
        <v/>
      </c>
      <c r="C6" s="69" t="n"/>
      <c r="D6" s="2" t="n"/>
      <c r="E6" s="275" t="inlineStr">
        <is>
          <t>Channel Price US$</t>
        </is>
      </c>
      <c r="F6" s="276" t="n"/>
      <c r="G6" s="95">
        <f>SUM(N26:N42)</f>
        <v/>
      </c>
      <c r="H6" s="3" t="n"/>
      <c r="I6" s="158" t="n"/>
      <c r="M6" s="83" t="n"/>
      <c r="N6" s="73" t="n"/>
      <c r="O6" s="84" t="n"/>
    </row>
    <row r="7">
      <c r="A7" s="89" t="inlineStr">
        <is>
          <t>Site Number</t>
        </is>
      </c>
      <c r="B7" s="97">
        <f>Factsheet!E7</f>
        <v/>
      </c>
      <c r="C7" s="67" t="n"/>
      <c r="D7" s="2" t="n"/>
      <c r="E7" s="277" t="inlineStr">
        <is>
          <t>Customer Price US$</t>
        </is>
      </c>
      <c r="F7" s="278" t="n"/>
      <c r="G7" s="91">
        <f>SUM(K26:K42)</f>
        <v/>
      </c>
      <c r="H7" s="3" t="n"/>
      <c r="I7" s="158" t="n"/>
      <c r="M7" s="83" t="n"/>
      <c r="N7" s="73" t="n"/>
      <c r="O7" s="84" t="n"/>
    </row>
    <row r="8" ht="16" customHeight="1" thickBot="1">
      <c r="A8" s="90" t="inlineStr">
        <is>
          <t>Country</t>
        </is>
      </c>
      <c r="B8" s="98">
        <f>Factsheet!B5</f>
        <v/>
      </c>
      <c r="C8" s="67" t="n"/>
      <c r="D8" s="2" t="n"/>
      <c r="E8" s="279" t="inlineStr">
        <is>
          <t>BL Revenue US$</t>
        </is>
      </c>
      <c r="F8" s="278" t="n"/>
      <c r="G8" s="92">
        <f>SUMPRODUCT(E26:E42,D26:D42)*B11</f>
        <v/>
      </c>
      <c r="H8" s="3" t="n"/>
      <c r="I8" s="158" t="n"/>
      <c r="M8" s="83" t="n"/>
      <c r="N8" s="73" t="n"/>
      <c r="O8" s="84" t="n"/>
    </row>
    <row r="9" ht="16" customHeight="1" thickBot="1">
      <c r="A9" s="65" t="n"/>
      <c r="B9" s="66" t="n"/>
      <c r="C9" s="67" t="n"/>
      <c r="D9" s="2" t="n"/>
      <c r="E9" s="279" t="inlineStr">
        <is>
          <t>RSVP Revenue US$</t>
        </is>
      </c>
      <c r="F9" s="278" t="n"/>
      <c r="G9" s="92">
        <f>SUMPRODUCT(F26:F42,D26:D42)*B11</f>
        <v/>
      </c>
      <c r="H9" s="3" t="n"/>
      <c r="I9" s="158" t="n"/>
      <c r="M9" s="83" t="n"/>
      <c r="N9" s="73" t="n"/>
      <c r="O9" s="84" t="n"/>
    </row>
    <row r="10" ht="16" customHeight="1" thickBot="1">
      <c r="A10" s="94" t="inlineStr">
        <is>
          <t>Exhibit</t>
        </is>
      </c>
      <c r="B10" s="114" t="n">
        <v>0.05</v>
      </c>
      <c r="D10" s="2" t="n"/>
      <c r="E10" s="277" t="inlineStr">
        <is>
          <t>Discount of BL %</t>
        </is>
      </c>
      <c r="F10" s="278" t="n"/>
      <c r="G10" s="280">
        <f>IF(G8=0,0,1-(G7/G8))</f>
        <v/>
      </c>
      <c r="H10" s="3" t="n"/>
      <c r="I10" s="158" t="n"/>
      <c r="M10" s="83" t="n"/>
      <c r="N10" s="73" t="n"/>
      <c r="O10" s="84" t="n"/>
    </row>
    <row r="11" ht="16" customHeight="1" thickBot="1">
      <c r="A11" s="94" t="inlineStr">
        <is>
          <t>Uplift</t>
        </is>
      </c>
      <c r="B11" s="135" t="n">
        <v>1</v>
      </c>
      <c r="D11" s="2" t="n"/>
      <c r="E11" s="281" t="inlineStr">
        <is>
          <t>Discount of RSVP %</t>
        </is>
      </c>
      <c r="F11" s="282" t="n"/>
      <c r="G11" s="283">
        <f>IF(G9=0,0,1-(G7/G9))</f>
        <v/>
      </c>
      <c r="H11" s="3" t="n"/>
      <c r="I11" s="83" t="n"/>
      <c r="J11" s="73" t="n"/>
      <c r="K11" s="73" t="n"/>
      <c r="M11" s="83" t="n"/>
      <c r="N11" s="73" t="n"/>
      <c r="O11" s="84" t="n"/>
    </row>
    <row r="12" ht="16" customHeight="1" thickBot="1">
      <c r="A12" s="68" t="n"/>
      <c r="C12" s="71" t="n"/>
      <c r="D12" s="2" t="n"/>
      <c r="E12" s="74" t="n"/>
      <c r="F12" s="73" t="n"/>
      <c r="G12" s="284" t="n"/>
      <c r="H12" s="3" t="n"/>
      <c r="M12" s="83" t="n"/>
      <c r="N12" s="73" t="n"/>
      <c r="O12" s="84" t="n"/>
    </row>
    <row r="13" ht="16" customHeight="1" thickBot="1">
      <c r="A13" s="273" t="inlineStr">
        <is>
          <t>Instructions</t>
        </is>
      </c>
      <c r="B13" s="285" t="n"/>
      <c r="C13" s="274" t="n"/>
      <c r="D13" s="9" t="n"/>
      <c r="E13" s="74" t="n"/>
      <c r="F13" s="73" t="n"/>
      <c r="G13" s="284" t="n"/>
      <c r="H13" s="3" t="n"/>
      <c r="L13" s="286" t="n"/>
      <c r="M13" s="83" t="n"/>
      <c r="N13" s="73" t="n"/>
      <c r="O13" s="84" t="n"/>
    </row>
    <row r="14">
      <c r="A14" s="287" t="inlineStr">
        <is>
          <t>Complete the information from "Factsheet" tab first</t>
        </is>
      </c>
      <c r="B14" s="288" t="n"/>
      <c r="C14" s="289" t="n"/>
    </row>
    <row r="15">
      <c r="A15" s="290" t="inlineStr">
        <is>
          <t>All PNs and Qty, should be inputted before list prices.</t>
        </is>
      </c>
      <c r="C15" s="291" t="n"/>
      <c r="D15" s="2" t="n"/>
      <c r="E15" s="74" t="n"/>
      <c r="F15" s="73" t="n"/>
      <c r="G15" s="284" t="n"/>
      <c r="H15" s="3" t="n"/>
      <c r="L15" s="2" t="n"/>
      <c r="M15" s="83" t="n"/>
      <c r="N15" s="73" t="n"/>
      <c r="O15" s="84" t="n"/>
    </row>
    <row r="16" ht="15.5" customHeight="1">
      <c r="A16" s="292" t="inlineStr">
        <is>
          <t>Input Coverage Dates in format DD/MM/AAAA</t>
        </is>
      </c>
      <c r="C16" s="291" t="n"/>
      <c r="D16" s="2" t="n"/>
      <c r="E16" s="74" t="n"/>
      <c r="F16" s="73" t="n"/>
      <c r="G16" s="284" t="n"/>
      <c r="H16" s="3" t="n"/>
      <c r="L16" s="293" t="n"/>
      <c r="M16" s="86" t="n"/>
      <c r="N16" s="87" t="n"/>
      <c r="O16" s="88" t="n"/>
    </row>
    <row r="17" ht="16.25" customHeight="1" thickBot="1">
      <c r="A17" s="294" t="inlineStr">
        <is>
          <t>Make sure to confirm the Exhibit is correct/updated</t>
        </is>
      </c>
      <c r="B17" s="295" t="n"/>
      <c r="C17" s="296" t="n"/>
      <c r="D17" s="2" t="n"/>
      <c r="E17" s="133" t="n"/>
      <c r="F17" s="134" t="n"/>
      <c r="G17" s="84" t="n"/>
      <c r="H17" s="3" t="n"/>
      <c r="M17" s="76" t="n"/>
      <c r="N17" s="76" t="n"/>
      <c r="O17" s="77" t="n"/>
    </row>
    <row r="18">
      <c r="A18" s="65" t="n"/>
      <c r="B18" s="66" t="n"/>
      <c r="C18" s="66" t="n"/>
      <c r="D18" s="2" t="n"/>
      <c r="E18" s="2" t="n"/>
      <c r="F18" s="2" t="n"/>
      <c r="G18" s="3" t="n"/>
      <c r="H18" s="3" t="n"/>
      <c r="L18" s="293" t="n"/>
      <c r="M18" s="2" t="n"/>
      <c r="N18" s="2" t="n"/>
      <c r="O18" s="5" t="n"/>
    </row>
    <row r="19">
      <c r="D19" s="2" t="n"/>
      <c r="E19" s="2" t="n"/>
      <c r="F19" s="2" t="n"/>
      <c r="G19" s="3" t="n"/>
      <c r="H19" s="3" t="n"/>
      <c r="L19" s="293" t="n"/>
      <c r="M19" s="2" t="n"/>
      <c r="N19" s="2" t="n"/>
      <c r="O19" s="5" t="n"/>
    </row>
    <row r="20">
      <c r="A20" s="72" t="n"/>
      <c r="D20" s="2" t="n"/>
      <c r="E20" s="2" t="n"/>
      <c r="F20" s="2" t="n"/>
      <c r="G20" s="3" t="n"/>
      <c r="H20" s="3" t="n"/>
      <c r="L20" s="293" t="n"/>
      <c r="M20" s="293" t="n"/>
      <c r="N20" s="2" t="n"/>
      <c r="O20" s="5" t="n"/>
    </row>
    <row r="21" ht="16" customHeight="1" thickBot="1">
      <c r="A21" s="65" t="n"/>
      <c r="D21" s="2" t="n"/>
      <c r="E21" s="2" t="n"/>
      <c r="F21" s="2" t="n"/>
      <c r="G21" s="3" t="n"/>
      <c r="H21" s="3" t="n"/>
      <c r="L21" s="293" t="n"/>
      <c r="M21" s="297" t="n"/>
      <c r="N21" s="2" t="n"/>
      <c r="O21" s="5" t="n"/>
    </row>
    <row r="22">
      <c r="A22" s="65" t="n"/>
      <c r="D22" s="2" t="n"/>
      <c r="E22" s="2" t="n"/>
      <c r="F22" s="2" t="n"/>
      <c r="G22" s="3" t="n"/>
      <c r="H22" s="3" t="n"/>
      <c r="L22" s="293" t="n"/>
      <c r="M22" s="298" t="inlineStr">
        <is>
          <t>Channel</t>
        </is>
      </c>
      <c r="N22" s="289" t="n"/>
      <c r="O22" s="5" t="n"/>
      <c r="R22" s="299" t="inlineStr">
        <is>
          <t>ONLY FOR  APPLIANCES.</t>
        </is>
      </c>
      <c r="S22" s="288" t="n"/>
      <c r="T22" s="289" t="n"/>
    </row>
    <row r="23" ht="16.5" customHeight="1" thickBot="1">
      <c r="D23" s="2" t="n"/>
      <c r="E23" s="2" t="n"/>
      <c r="F23" s="2" t="n"/>
      <c r="G23" s="12" t="n"/>
      <c r="H23" s="3" t="n"/>
      <c r="I23" s="2" t="n"/>
      <c r="J23" s="2" t="n"/>
      <c r="K23" s="2" t="n"/>
      <c r="L23" s="4" t="n"/>
      <c r="M23" s="300" t="n"/>
      <c r="N23" s="296" t="n"/>
      <c r="O23" s="5" t="n"/>
      <c r="R23" s="300" t="n"/>
      <c r="S23" s="295" t="n"/>
      <c r="T23" s="296" t="n"/>
    </row>
    <row r="24" ht="31.25" customHeight="1">
      <c r="A24" s="16" t="inlineStr">
        <is>
          <t>Description</t>
        </is>
      </c>
      <c r="B24" s="301" t="inlineStr">
        <is>
          <t>PN</t>
        </is>
      </c>
      <c r="C24" s="301" t="inlineStr">
        <is>
          <t>Points</t>
        </is>
      </c>
      <c r="D24" s="301" t="inlineStr">
        <is>
          <t>Qty</t>
        </is>
      </c>
      <c r="E24" s="302" t="inlineStr">
        <is>
          <t>USBP BL</t>
        </is>
      </c>
      <c r="F24" s="302" t="inlineStr">
        <is>
          <t>RSVP</t>
        </is>
      </c>
      <c r="G24" s="302" t="inlineStr">
        <is>
          <t>USBP Special</t>
        </is>
      </c>
      <c r="H24" s="302" t="inlineStr">
        <is>
          <t>Disc off BL</t>
        </is>
      </c>
      <c r="I24" s="302" t="inlineStr">
        <is>
          <t>Disc off RSVP</t>
        </is>
      </c>
      <c r="J24" s="303" t="inlineStr">
        <is>
          <t>Price Unit U$</t>
        </is>
      </c>
      <c r="K24" s="304" t="inlineStr">
        <is>
          <t>Price Total U$</t>
        </is>
      </c>
      <c r="L24" s="4" t="n"/>
      <c r="M24" s="305" t="inlineStr">
        <is>
          <t>Price Unit U$</t>
        </is>
      </c>
      <c r="N24" s="304" t="inlineStr">
        <is>
          <t>Price Total U$</t>
        </is>
      </c>
      <c r="O24" s="5" t="n"/>
      <c r="P24" s="306" t="inlineStr">
        <is>
          <t>Begin Cvg Date</t>
        </is>
      </c>
      <c r="Q24" s="307" t="inlineStr">
        <is>
          <t>End Cvg Date</t>
        </is>
      </c>
      <c r="R24" s="308" t="inlineStr">
        <is>
          <t xml:space="preserve">TYPE </t>
        </is>
      </c>
      <c r="S24" s="308" t="inlineStr">
        <is>
          <t xml:space="preserve">MODEL </t>
        </is>
      </c>
      <c r="T24" s="308" t="inlineStr">
        <is>
          <t xml:space="preserve">SERIAL </t>
        </is>
      </c>
      <c r="U24" s="100" t="n"/>
      <c r="V24" s="147" t="n"/>
      <c r="W24" s="147" t="n"/>
      <c r="X24" s="100" t="n"/>
      <c r="Y24" s="147" t="n"/>
      <c r="Z24" s="147" t="n"/>
    </row>
    <row r="25" ht="16.5" customHeight="1" thickBot="1">
      <c r="A25" s="17" t="n"/>
      <c r="B25" s="309" t="n"/>
      <c r="C25" s="309" t="n"/>
      <c r="D25" s="309" t="n"/>
      <c r="E25" s="309" t="n"/>
      <c r="F25" s="309" t="n"/>
      <c r="G25" s="309" t="n"/>
      <c r="H25" s="309" t="n"/>
      <c r="I25" s="309" t="n"/>
      <c r="J25" s="309" t="n"/>
      <c r="K25" s="310" t="n"/>
      <c r="L25" s="4" t="n"/>
      <c r="M25" s="311" t="n"/>
      <c r="N25" s="310" t="n"/>
      <c r="O25" s="5" t="n"/>
      <c r="P25" s="300" t="n"/>
      <c r="Q25" s="312" t="n"/>
      <c r="R25" s="312" t="n"/>
      <c r="S25" s="312" t="n"/>
      <c r="T25" s="312" t="n"/>
      <c r="U25" s="100" t="n"/>
      <c r="X25" s="100" t="n"/>
    </row>
    <row r="26" ht="15" customHeight="1">
      <c r="A26" s="138" t="inlineStr">
        <is>
          <t>MAXIMO APPLICATION SUITE PER APPPOINT ANNUAL SW S&amp;S RNWL</t>
        </is>
      </c>
      <c r="B26" s="115" t="inlineStr">
        <is>
          <t>E0R1HLL</t>
        </is>
      </c>
      <c r="C26" s="116" t="n"/>
      <c r="D26" s="139" t="n">
        <v>1100</v>
      </c>
      <c r="E26" s="116" t="n"/>
      <c r="F26" s="116" t="n"/>
      <c r="G26" s="116" t="n"/>
      <c r="H26" s="313">
        <f>IF(G26=0,0,1-G26/E26)</f>
        <v/>
      </c>
      <c r="I26" s="313">
        <f>IF(G26=0,0,1-G26/F26)</f>
        <v/>
      </c>
      <c r="J26" s="118">
        <f>ROUND(IF(G26=0,F26*$B$11,G26*$B$11),2)</f>
        <v/>
      </c>
      <c r="K26" s="119">
        <f>J26*D26</f>
        <v/>
      </c>
      <c r="L26" s="4" t="n"/>
      <c r="M26" s="127">
        <f>TRUNC((J26*(1-$B$10)),2)</f>
        <v/>
      </c>
      <c r="N26" s="128">
        <f>M26*D26</f>
        <v/>
      </c>
      <c r="P26" s="314" t="inlineStr">
        <is>
          <t>01/07/2026</t>
        </is>
      </c>
      <c r="Q26" s="315" t="inlineStr">
        <is>
          <t>30/06/2027</t>
        </is>
      </c>
      <c r="R26" s="103" t="n"/>
      <c r="S26" s="102" t="n"/>
      <c r="T26" s="104" t="n"/>
    </row>
    <row r="27" ht="15" customHeight="1">
      <c r="A27" s="120" t="n"/>
      <c r="B27" s="101" t="n"/>
      <c r="C27" s="102" t="n"/>
      <c r="D27" s="140" t="n"/>
      <c r="E27" s="102" t="n"/>
      <c r="F27" s="102" t="n"/>
      <c r="G27" s="102" t="n"/>
      <c r="H27" s="316">
        <f>IF(G27=0,0,1-G27/E27)</f>
        <v/>
      </c>
      <c r="I27" s="316">
        <f>IF(G27=0,0,1-G27/F27)</f>
        <v/>
      </c>
      <c r="J27" s="14">
        <f>ROUND(IF(G27=0,F27*$B$11,G27*$B$11),2)</f>
        <v/>
      </c>
      <c r="K27" s="121">
        <f>J27*D27</f>
        <v/>
      </c>
      <c r="L27" s="4" t="n"/>
      <c r="M27" s="129">
        <f>TRUNC((J27*(1-$B$10)),2)</f>
        <v/>
      </c>
      <c r="N27" s="130">
        <f>M27*D27</f>
        <v/>
      </c>
      <c r="P27" s="317" t="n"/>
      <c r="Q27" s="318" t="n"/>
      <c r="R27" s="103" t="n"/>
      <c r="S27" s="102" t="n"/>
      <c r="T27" s="104" t="n"/>
    </row>
    <row r="28" ht="15" customHeight="1">
      <c r="A28" s="120" t="n"/>
      <c r="B28" s="101" t="n"/>
      <c r="C28" s="102" t="n"/>
      <c r="D28" s="140" t="n"/>
      <c r="E28" s="102" t="n"/>
      <c r="F28" s="102" t="n"/>
      <c r="G28" s="102" t="n"/>
      <c r="H28" s="316">
        <f>IF(G28=0,0,1-G28/E28)</f>
        <v/>
      </c>
      <c r="I28" s="316">
        <f>IF(G28=0,0,1-G28/F28)</f>
        <v/>
      </c>
      <c r="J28" s="14">
        <f>ROUND(IF(G28=0,F28*$B$11,G28*$B$11),2)</f>
        <v/>
      </c>
      <c r="K28" s="121">
        <f>J28*D28</f>
        <v/>
      </c>
      <c r="L28" s="4" t="n"/>
      <c r="M28" s="129">
        <f>TRUNC((J28*(1-$B$10)),2)</f>
        <v/>
      </c>
      <c r="N28" s="130">
        <f>M28*D28</f>
        <v/>
      </c>
      <c r="P28" s="317" t="n"/>
      <c r="Q28" s="318" t="n"/>
      <c r="R28" s="103" t="n"/>
      <c r="S28" s="102" t="n"/>
      <c r="T28" s="104" t="n"/>
    </row>
    <row r="29" ht="15" customHeight="1">
      <c r="A29" s="120" t="n"/>
      <c r="B29" s="101" t="n"/>
      <c r="C29" s="102" t="n"/>
      <c r="D29" s="140" t="n"/>
      <c r="E29" s="102" t="n"/>
      <c r="F29" s="102" t="n"/>
      <c r="G29" s="102" t="n"/>
      <c r="H29" s="316">
        <f>IF(G29=0,0,1-G29/E29)</f>
        <v/>
      </c>
      <c r="I29" s="316">
        <f>IF(G29=0,0,1-G29/F29)</f>
        <v/>
      </c>
      <c r="J29" s="14">
        <f>ROUND(IF(G29=0,F29*$B$11,G29*$B$11),2)</f>
        <v/>
      </c>
      <c r="K29" s="121">
        <f>J29*D29</f>
        <v/>
      </c>
      <c r="L29" s="4" t="n"/>
      <c r="M29" s="129">
        <f>TRUNC((J29*(1-$B$10)),2)</f>
        <v/>
      </c>
      <c r="N29" s="130">
        <f>M29*D29</f>
        <v/>
      </c>
      <c r="P29" s="317" t="n"/>
      <c r="Q29" s="318" t="n"/>
      <c r="R29" s="103" t="n"/>
      <c r="S29" s="102" t="n"/>
      <c r="T29" s="104" t="n"/>
    </row>
    <row r="30" ht="15" customHeight="1">
      <c r="A30" s="120" t="n"/>
      <c r="B30" s="101" t="n"/>
      <c r="C30" s="102" t="n"/>
      <c r="D30" s="140" t="n"/>
      <c r="E30" s="102" t="n"/>
      <c r="F30" s="102" t="n"/>
      <c r="G30" s="102" t="n"/>
      <c r="H30" s="316">
        <f>IF(G30=0,0,1-G30/E30)</f>
        <v/>
      </c>
      <c r="I30" s="316">
        <f>IF(G30=0,0,1-G30/F30)</f>
        <v/>
      </c>
      <c r="J30" s="14">
        <f>ROUND(IF(G30=0,F30*$B$11,G30*$B$11),2)</f>
        <v/>
      </c>
      <c r="K30" s="121">
        <f>J30*D30</f>
        <v/>
      </c>
      <c r="L30" s="4" t="n"/>
      <c r="M30" s="129">
        <f>TRUNC((J30*(1-$B$10)),2)</f>
        <v/>
      </c>
      <c r="N30" s="130">
        <f>M30*D30</f>
        <v/>
      </c>
      <c r="P30" s="317" t="n"/>
      <c r="Q30" s="318" t="n"/>
      <c r="R30" s="103" t="n"/>
      <c r="S30" s="102" t="n"/>
      <c r="T30" s="104" t="n"/>
    </row>
    <row r="31" ht="15" customHeight="1">
      <c r="A31" s="120" t="n"/>
      <c r="B31" s="101" t="n"/>
      <c r="C31" s="102" t="n"/>
      <c r="D31" s="140" t="n"/>
      <c r="E31" s="102" t="n"/>
      <c r="F31" s="102" t="n"/>
      <c r="G31" s="102" t="n"/>
      <c r="H31" s="316">
        <f>IF(G31=0,0,1-G31/E31)</f>
        <v/>
      </c>
      <c r="I31" s="316">
        <f>IF(G31=0,0,1-G31/F31)</f>
        <v/>
      </c>
      <c r="J31" s="14">
        <f>ROUND(IF(G31=0,F31*$B$11,G31*$B$11),2)</f>
        <v/>
      </c>
      <c r="K31" s="121">
        <f>J31*D31</f>
        <v/>
      </c>
      <c r="L31" s="4" t="n"/>
      <c r="M31" s="129">
        <f>TRUNC((J31*(1-$B$10)),2)</f>
        <v/>
      </c>
      <c r="N31" s="130">
        <f>M31*D31</f>
        <v/>
      </c>
      <c r="P31" s="317" t="n"/>
      <c r="Q31" s="318" t="n"/>
      <c r="R31" s="103" t="n"/>
      <c r="S31" s="102" t="n"/>
      <c r="T31" s="104" t="n"/>
    </row>
    <row r="32" ht="15" customHeight="1">
      <c r="A32" s="120" t="n"/>
      <c r="B32" s="101" t="n"/>
      <c r="C32" s="102" t="n"/>
      <c r="D32" s="140" t="n"/>
      <c r="E32" s="102" t="n"/>
      <c r="F32" s="102" t="n"/>
      <c r="G32" s="102" t="n"/>
      <c r="H32" s="316">
        <f>IF(G32=0,0,1-G32/E32)</f>
        <v/>
      </c>
      <c r="I32" s="316">
        <f>IF(G32=0,0,1-G32/F32)</f>
        <v/>
      </c>
      <c r="J32" s="14">
        <f>ROUND(IF(G32=0,F32*$B$11,G32*$B$11),2)</f>
        <v/>
      </c>
      <c r="K32" s="121">
        <f>J32*D32</f>
        <v/>
      </c>
      <c r="L32" s="4" t="n"/>
      <c r="M32" s="129">
        <f>TRUNC((J32*(1-$B$10)),2)</f>
        <v/>
      </c>
      <c r="N32" s="130">
        <f>M32*D32</f>
        <v/>
      </c>
      <c r="P32" s="317" t="n"/>
      <c r="Q32" s="318" t="n"/>
      <c r="R32" s="103" t="n"/>
      <c r="S32" s="102" t="n"/>
      <c r="T32" s="104" t="n"/>
    </row>
    <row r="33" ht="15" customHeight="1">
      <c r="A33" s="120" t="n"/>
      <c r="B33" s="101" t="n"/>
      <c r="C33" s="102" t="n"/>
      <c r="D33" s="140" t="n"/>
      <c r="E33" s="102" t="n"/>
      <c r="F33" s="102" t="n"/>
      <c r="G33" s="102" t="n"/>
      <c r="H33" s="316">
        <f>IF(G33=0,0,1-G33/E33)</f>
        <v/>
      </c>
      <c r="I33" s="316">
        <f>IF(G33=0,0,1-G33/F33)</f>
        <v/>
      </c>
      <c r="J33" s="14">
        <f>ROUND(IF(G33=0,F33*$B$11,G33*$B$11),2)</f>
        <v/>
      </c>
      <c r="K33" s="121">
        <f>J33*D33</f>
        <v/>
      </c>
      <c r="L33" s="4" t="n"/>
      <c r="M33" s="129">
        <f>TRUNC((J33*(1-$B$10)),2)</f>
        <v/>
      </c>
      <c r="N33" s="130">
        <f>M33*D33</f>
        <v/>
      </c>
      <c r="P33" s="317" t="n"/>
      <c r="Q33" s="318" t="n"/>
      <c r="R33" s="103" t="n"/>
      <c r="S33" s="102" t="n"/>
      <c r="T33" s="104" t="n"/>
    </row>
    <row r="34" ht="15" customHeight="1">
      <c r="A34" s="120" t="n"/>
      <c r="B34" s="101" t="n"/>
      <c r="C34" s="102" t="n"/>
      <c r="D34" s="140" t="n"/>
      <c r="E34" s="102" t="n"/>
      <c r="F34" s="102" t="n"/>
      <c r="G34" s="102" t="n"/>
      <c r="H34" s="316">
        <f>IF(G34=0,0,1-G34/E34)</f>
        <v/>
      </c>
      <c r="I34" s="316">
        <f>IF(G34=0,0,1-G34/F34)</f>
        <v/>
      </c>
      <c r="J34" s="14">
        <f>ROUND(IF(G34=0,F34*$B$11,G34*$B$11),2)</f>
        <v/>
      </c>
      <c r="K34" s="121">
        <f>J34*D34</f>
        <v/>
      </c>
      <c r="L34" s="4" t="n"/>
      <c r="M34" s="129">
        <f>TRUNC((J34*(1-$B$10)),2)</f>
        <v/>
      </c>
      <c r="N34" s="130">
        <f>M34*D34</f>
        <v/>
      </c>
      <c r="P34" s="317" t="n"/>
      <c r="Q34" s="318" t="n"/>
      <c r="R34" s="103" t="n"/>
      <c r="S34" s="102" t="n"/>
      <c r="T34" s="104" t="n"/>
    </row>
    <row r="35" ht="15" customHeight="1">
      <c r="A35" s="120" t="n"/>
      <c r="B35" s="101" t="n"/>
      <c r="C35" s="102" t="n"/>
      <c r="D35" s="140" t="n"/>
      <c r="E35" s="102" t="n"/>
      <c r="F35" s="102" t="n"/>
      <c r="G35" s="102" t="n"/>
      <c r="H35" s="316">
        <f>IF(G35=0,0,1-G35/E35)</f>
        <v/>
      </c>
      <c r="I35" s="316">
        <f>IF(G35=0,0,1-G35/F35)</f>
        <v/>
      </c>
      <c r="J35" s="14">
        <f>ROUND(IF(G35=0,F35*$B$11,G35*$B$11),2)</f>
        <v/>
      </c>
      <c r="K35" s="121">
        <f>J35*D35</f>
        <v/>
      </c>
      <c r="L35" s="4" t="n"/>
      <c r="M35" s="129">
        <f>TRUNC((J35*(1-$B$10)),2)</f>
        <v/>
      </c>
      <c r="N35" s="130">
        <f>M35*D35</f>
        <v/>
      </c>
      <c r="P35" s="317" t="n"/>
      <c r="Q35" s="318" t="n"/>
      <c r="R35" s="103" t="n"/>
      <c r="S35" s="102" t="n"/>
      <c r="T35" s="104" t="n"/>
    </row>
    <row r="36" ht="15" customHeight="1">
      <c r="A36" s="120" t="n"/>
      <c r="B36" s="101" t="n"/>
      <c r="C36" s="102" t="n"/>
      <c r="D36" s="140" t="n"/>
      <c r="E36" s="102" t="n"/>
      <c r="F36" s="102" t="n"/>
      <c r="G36" s="102" t="n"/>
      <c r="H36" s="316">
        <f>IF(G36=0,0,1-G36/E36)</f>
        <v/>
      </c>
      <c r="I36" s="316">
        <f>IF(G36=0,0,1-G36/F36)</f>
        <v/>
      </c>
      <c r="J36" s="14">
        <f>ROUND(IF(G36=0,F36*$B$11,G36*$B$11),2)</f>
        <v/>
      </c>
      <c r="K36" s="121">
        <f>J36*D36</f>
        <v/>
      </c>
      <c r="L36" s="4" t="n"/>
      <c r="M36" s="129">
        <f>TRUNC((J36*(1-$B$10)),2)</f>
        <v/>
      </c>
      <c r="N36" s="130">
        <f>M36*D36</f>
        <v/>
      </c>
      <c r="P36" s="317" t="n"/>
      <c r="Q36" s="318" t="n"/>
      <c r="R36" s="103" t="n"/>
      <c r="S36" s="102" t="n"/>
      <c r="T36" s="104" t="n"/>
    </row>
    <row r="37" ht="15" customHeight="1">
      <c r="A37" s="120" t="n"/>
      <c r="B37" s="101" t="n"/>
      <c r="C37" s="102" t="n"/>
      <c r="D37" s="140" t="n"/>
      <c r="E37" s="102" t="n"/>
      <c r="F37" s="102" t="n"/>
      <c r="G37" s="102" t="n"/>
      <c r="H37" s="316">
        <f>IF(G37=0,0,1-G37/E37)</f>
        <v/>
      </c>
      <c r="I37" s="316">
        <f>IF(G37=0,0,1-G37/F37)</f>
        <v/>
      </c>
      <c r="J37" s="14">
        <f>ROUND(IF(G37=0,F37*$B$11,G37*$B$11),2)</f>
        <v/>
      </c>
      <c r="K37" s="121">
        <f>J37*D37</f>
        <v/>
      </c>
      <c r="L37" s="4" t="n"/>
      <c r="M37" s="129">
        <f>TRUNC((J37*(1-$B$10)),2)</f>
        <v/>
      </c>
      <c r="N37" s="130">
        <f>M37*D37</f>
        <v/>
      </c>
      <c r="P37" s="317" t="n"/>
      <c r="Q37" s="318" t="n"/>
      <c r="R37" s="103" t="n"/>
      <c r="S37" s="102" t="n"/>
      <c r="T37" s="104" t="n"/>
    </row>
    <row r="38" ht="15" customHeight="1">
      <c r="A38" s="120" t="n"/>
      <c r="B38" s="101" t="n"/>
      <c r="C38" s="102" t="n"/>
      <c r="D38" s="140" t="n"/>
      <c r="E38" s="102" t="n"/>
      <c r="F38" s="102" t="n"/>
      <c r="G38" s="102" t="n"/>
      <c r="H38" s="316">
        <f>IF(G38=0,0,1-G38/E38)</f>
        <v/>
      </c>
      <c r="I38" s="316">
        <f>IF(G38=0,0,1-G38/F38)</f>
        <v/>
      </c>
      <c r="J38" s="14">
        <f>ROUND(IF(G38=0,F38*$B$11,G38*$B$11),2)</f>
        <v/>
      </c>
      <c r="K38" s="121">
        <f>J38*D38</f>
        <v/>
      </c>
      <c r="L38" s="4" t="n"/>
      <c r="M38" s="129">
        <f>TRUNC((J38*(1-$B$10)),2)</f>
        <v/>
      </c>
      <c r="N38" s="130">
        <f>M38*D38</f>
        <v/>
      </c>
      <c r="P38" s="317" t="n"/>
      <c r="Q38" s="318" t="n"/>
      <c r="R38" s="103" t="n"/>
      <c r="S38" s="102" t="n"/>
      <c r="T38" s="104" t="n"/>
    </row>
    <row r="39" ht="15" customHeight="1">
      <c r="A39" s="120" t="n"/>
      <c r="B39" s="101" t="n"/>
      <c r="C39" s="102" t="n"/>
      <c r="D39" s="140" t="n"/>
      <c r="E39" s="102" t="n"/>
      <c r="F39" s="102" t="n"/>
      <c r="G39" s="102" t="n"/>
      <c r="H39" s="316">
        <f>IF(G39=0,0,1-G39/E39)</f>
        <v/>
      </c>
      <c r="I39" s="316">
        <f>IF(G39=0,0,1-G39/F39)</f>
        <v/>
      </c>
      <c r="J39" s="14">
        <f>ROUND(IF(G39=0,F39*$B$11,G39*$B$11),2)</f>
        <v/>
      </c>
      <c r="K39" s="121">
        <f>J39*D39</f>
        <v/>
      </c>
      <c r="L39" s="4" t="n"/>
      <c r="M39" s="129">
        <f>TRUNC((J39*(1-$B$10)),2)</f>
        <v/>
      </c>
      <c r="N39" s="130">
        <f>M39*D39</f>
        <v/>
      </c>
      <c r="P39" s="317" t="n"/>
      <c r="Q39" s="318" t="n"/>
      <c r="R39" s="103" t="n"/>
      <c r="S39" s="102" t="n"/>
      <c r="T39" s="104" t="n"/>
    </row>
    <row r="40" ht="15" customHeight="1">
      <c r="A40" s="120" t="n"/>
      <c r="B40" s="101" t="n"/>
      <c r="C40" s="102" t="n"/>
      <c r="D40" s="140" t="n"/>
      <c r="E40" s="102" t="n"/>
      <c r="F40" s="102" t="n"/>
      <c r="G40" s="102" t="n"/>
      <c r="H40" s="316">
        <f>IF(G40=0,0,1-G40/E40)</f>
        <v/>
      </c>
      <c r="I40" s="316">
        <f>IF(G40=0,0,1-G40/F40)</f>
        <v/>
      </c>
      <c r="J40" s="14">
        <f>ROUND(IF(G40=0,F40*$B$11,G40*$B$11),2)</f>
        <v/>
      </c>
      <c r="K40" s="121">
        <f>J40*D40</f>
        <v/>
      </c>
      <c r="L40" s="4" t="n"/>
      <c r="M40" s="129">
        <f>TRUNC((J40*(1-$B$10)),2)</f>
        <v/>
      </c>
      <c r="N40" s="130">
        <f>M40*D40</f>
        <v/>
      </c>
      <c r="P40" s="317" t="n"/>
      <c r="Q40" s="318" t="n"/>
      <c r="R40" s="103" t="n"/>
      <c r="S40" s="102" t="n"/>
      <c r="T40" s="104" t="n"/>
    </row>
    <row r="41" ht="15" customHeight="1">
      <c r="A41" s="120" t="n"/>
      <c r="B41" s="101" t="n"/>
      <c r="C41" s="102" t="n"/>
      <c r="D41" s="140" t="n"/>
      <c r="E41" s="102" t="n"/>
      <c r="F41" s="102" t="n"/>
      <c r="G41" s="102" t="n"/>
      <c r="H41" s="316">
        <f>IF(G41=0,0,1-G41/E41)</f>
        <v/>
      </c>
      <c r="I41" s="316">
        <f>IF(G41=0,0,1-G41/F41)</f>
        <v/>
      </c>
      <c r="J41" s="14">
        <f>ROUND(IF(G41=0,F41*$B$11,G41*$B$11),2)</f>
        <v/>
      </c>
      <c r="K41" s="121">
        <f>J41*D41</f>
        <v/>
      </c>
      <c r="L41" s="4" t="n"/>
      <c r="M41" s="129">
        <f>TRUNC((J41*(1-$B$10)),2)</f>
        <v/>
      </c>
      <c r="N41" s="130">
        <f>M41*D41</f>
        <v/>
      </c>
      <c r="P41" s="317" t="n"/>
      <c r="Q41" s="318" t="n"/>
      <c r="R41" s="103" t="n"/>
      <c r="S41" s="102" t="n"/>
      <c r="T41" s="104" t="n"/>
    </row>
    <row r="42" ht="15" customHeight="1">
      <c r="A42" s="120" t="n"/>
      <c r="B42" s="101" t="n"/>
      <c r="C42" s="102" t="n"/>
      <c r="D42" s="102" t="n"/>
      <c r="E42" s="102" t="n"/>
      <c r="F42" s="102" t="n"/>
      <c r="G42" s="102" t="n"/>
      <c r="H42" s="316">
        <f>IF(G42=0,0,1-G42/E42)</f>
        <v/>
      </c>
      <c r="I42" s="316">
        <f>IF(G42=0,0,1-G42/F42)</f>
        <v/>
      </c>
      <c r="J42" s="14">
        <f>ROUND(IF(G42=0,F42*$B$11,G42*$B$11),2)</f>
        <v/>
      </c>
      <c r="K42" s="121">
        <f>J42*D42</f>
        <v/>
      </c>
      <c r="L42" s="4" t="n"/>
      <c r="M42" s="129">
        <f>TRUNC((J42*(1-$B$10)),2)</f>
        <v/>
      </c>
      <c r="N42" s="130">
        <f>M42*D42</f>
        <v/>
      </c>
      <c r="P42" s="317" t="n"/>
      <c r="Q42" s="318" t="n"/>
      <c r="R42" s="103" t="n"/>
      <c r="S42" s="102" t="n"/>
      <c r="T42" s="104" t="n"/>
    </row>
    <row r="43" ht="15" customHeight="1" thickBot="1">
      <c r="A43" s="122" t="n"/>
      <c r="B43" s="123" t="n"/>
      <c r="C43" s="106" t="n"/>
      <c r="D43" s="106" t="n"/>
      <c r="E43" s="106" t="n"/>
      <c r="F43" s="106" t="n"/>
      <c r="G43" s="106" t="n"/>
      <c r="H43" s="319">
        <f>IF(G43=0,0,1-G43/E43)</f>
        <v/>
      </c>
      <c r="I43" s="319">
        <f>IF(G43=0,0,1-G43/F43)</f>
        <v/>
      </c>
      <c r="J43" s="125">
        <f>ROUND(IF(G43=0,F43*$B$11,G43*$B$11),2)</f>
        <v/>
      </c>
      <c r="K43" s="126">
        <f>J43*D43</f>
        <v/>
      </c>
      <c r="L43" s="4" t="n"/>
      <c r="M43" s="131">
        <f>TRUNC((J43*(1-$B$10)),2)</f>
        <v/>
      </c>
      <c r="N43" s="132">
        <f>M43*D43</f>
        <v/>
      </c>
      <c r="P43" s="320" t="n"/>
      <c r="Q43" s="321" t="n"/>
      <c r="R43" s="105" t="n"/>
      <c r="S43" s="106" t="n"/>
      <c r="T43" s="107" t="n"/>
    </row>
    <row r="44">
      <c r="D44" s="2" t="n"/>
      <c r="E44" s="2" t="n"/>
      <c r="F44" s="2" t="n"/>
      <c r="G44" s="3" t="n"/>
      <c r="H44" s="3" t="n"/>
      <c r="I44" s="2" t="n"/>
      <c r="J44" s="2" t="n"/>
      <c r="K44" s="2" t="n"/>
      <c r="L44" s="4" t="n"/>
      <c r="M44" s="2" t="n"/>
      <c r="N44" s="2" t="n"/>
      <c r="O44" s="5" t="n"/>
      <c r="P44" s="322" t="n"/>
      <c r="Q44" s="322" t="n"/>
    </row>
    <row r="45">
      <c r="D45" s="2" t="n"/>
      <c r="E45" s="2" t="n"/>
      <c r="F45" s="2" t="n"/>
      <c r="G45" s="3" t="n"/>
      <c r="H45" s="3" t="n"/>
      <c r="I45" s="2" t="n"/>
      <c r="J45" s="2" t="n"/>
      <c r="K45" s="2" t="n"/>
      <c r="L45" s="4" t="n"/>
      <c r="M45" s="2" t="n"/>
      <c r="N45" s="2" t="n"/>
      <c r="O45" s="5" t="n"/>
      <c r="P45" s="322" t="n"/>
      <c r="Q45" s="322" t="n"/>
    </row>
    <row r="46">
      <c r="D46" s="2" t="n"/>
      <c r="E46" s="2" t="n"/>
      <c r="F46" s="2" t="n"/>
      <c r="G46" s="3" t="n"/>
      <c r="H46" s="3" t="n"/>
      <c r="I46" s="2" t="n"/>
      <c r="J46" s="2" t="n"/>
      <c r="K46" s="2" t="n"/>
      <c r="L46" s="4" t="n"/>
      <c r="M46" s="2" t="n"/>
      <c r="N46" s="2" t="n"/>
      <c r="O46" s="5" t="n"/>
      <c r="P46" s="322" t="n"/>
      <c r="Q46" s="322" t="n"/>
    </row>
    <row r="47">
      <c r="D47" s="2" t="n"/>
      <c r="E47" s="2" t="n"/>
      <c r="F47" s="2" t="n"/>
      <c r="G47" s="3" t="n"/>
      <c r="H47" s="3" t="n"/>
      <c r="I47" s="2" t="n"/>
      <c r="J47" s="2" t="n"/>
      <c r="K47" s="2" t="n"/>
      <c r="L47" s="4" t="n"/>
      <c r="M47" s="2" t="n"/>
      <c r="N47" s="2" t="n"/>
      <c r="O47" s="5" t="n"/>
      <c r="P47" s="322" t="n"/>
      <c r="Q47" s="322" t="n"/>
    </row>
    <row r="48">
      <c r="D48" s="2" t="n"/>
      <c r="E48" s="2" t="n"/>
      <c r="F48" s="2" t="n"/>
      <c r="G48" s="3" t="n"/>
      <c r="H48" s="3" t="n"/>
      <c r="I48" s="2" t="n"/>
      <c r="J48" s="2" t="n"/>
      <c r="K48" s="2" t="n"/>
      <c r="L48" s="4" t="n"/>
      <c r="M48" s="2" t="n"/>
      <c r="N48" s="2" t="n"/>
      <c r="O48" s="5" t="n"/>
      <c r="P48" s="322" t="n"/>
      <c r="Q48" s="322" t="n"/>
    </row>
    <row r="49">
      <c r="D49" s="2" t="n"/>
      <c r="E49" s="2" t="n"/>
      <c r="F49" s="2" t="n"/>
      <c r="G49" s="3" t="n"/>
      <c r="H49" s="3" t="n"/>
      <c r="I49" s="2" t="n"/>
      <c r="J49" s="2" t="n"/>
      <c r="K49" s="2" t="n"/>
      <c r="L49" s="4" t="n"/>
      <c r="M49" s="2" t="n"/>
      <c r="N49" s="2" t="n"/>
      <c r="O49" s="5" t="n"/>
      <c r="P49" s="322" t="n"/>
      <c r="Q49" s="322" t="n"/>
    </row>
    <row r="50">
      <c r="D50" s="2" t="n"/>
      <c r="E50" s="2" t="n"/>
      <c r="F50" s="2" t="n"/>
      <c r="G50" s="3" t="n"/>
      <c r="H50" s="3" t="n"/>
      <c r="I50" s="2" t="n"/>
      <c r="J50" s="2" t="n"/>
      <c r="K50" s="2" t="n"/>
      <c r="L50" s="4" t="n"/>
      <c r="M50" s="2" t="n"/>
      <c r="N50" s="2" t="n"/>
      <c r="O50" s="5" t="n"/>
      <c r="P50" s="322" t="n"/>
      <c r="Q50" s="322" t="n"/>
    </row>
    <row r="51">
      <c r="D51" s="2" t="n"/>
      <c r="E51" s="2" t="n"/>
      <c r="F51" s="2" t="n"/>
      <c r="G51" s="3" t="n"/>
      <c r="H51" s="3" t="n"/>
      <c r="I51" s="2" t="n"/>
      <c r="J51" s="2" t="n"/>
      <c r="K51" s="2" t="n"/>
      <c r="L51" s="4" t="n"/>
      <c r="M51" s="2" t="n"/>
      <c r="N51" s="2" t="n"/>
      <c r="O51" s="5" t="n"/>
      <c r="P51" s="322" t="n"/>
      <c r="Q51" s="322" t="n"/>
    </row>
    <row r="52">
      <c r="D52" s="2" t="n"/>
      <c r="E52" s="2" t="n"/>
      <c r="F52" s="2" t="n"/>
      <c r="G52" s="3" t="n"/>
      <c r="H52" s="3" t="n"/>
      <c r="I52" s="2" t="n"/>
      <c r="J52" s="2" t="n"/>
      <c r="K52" s="2" t="n"/>
      <c r="L52" s="4" t="n"/>
      <c r="M52" s="2" t="n"/>
      <c r="N52" s="2" t="n"/>
      <c r="O52" s="5" t="n"/>
      <c r="P52" s="322" t="n"/>
      <c r="Q52" s="322" t="n"/>
    </row>
    <row r="53">
      <c r="D53" s="2" t="n"/>
      <c r="E53" s="2" t="n"/>
      <c r="F53" s="2" t="n"/>
      <c r="G53" s="3" t="n"/>
      <c r="H53" s="3" t="n"/>
      <c r="I53" s="2" t="n"/>
      <c r="J53" s="2" t="n"/>
      <c r="K53" s="2" t="n"/>
      <c r="L53" s="4" t="n"/>
      <c r="M53" s="2" t="n"/>
      <c r="N53" s="2" t="n"/>
      <c r="O53" s="5" t="n"/>
      <c r="P53" s="322" t="n"/>
      <c r="Q53" s="322" t="n"/>
    </row>
    <row r="54">
      <c r="D54" s="2" t="n"/>
      <c r="E54" s="2" t="n"/>
      <c r="F54" s="2" t="n"/>
      <c r="G54" s="3" t="n"/>
      <c r="H54" s="3" t="n"/>
      <c r="I54" s="2" t="n"/>
      <c r="J54" s="2" t="n"/>
      <c r="K54" s="2" t="n"/>
      <c r="L54" s="4" t="n"/>
      <c r="M54" s="2" t="n"/>
      <c r="N54" s="2" t="n"/>
      <c r="O54" s="5" t="n"/>
      <c r="P54" s="322" t="n"/>
      <c r="Q54" s="322" t="n"/>
    </row>
    <row r="55">
      <c r="D55" s="2" t="n"/>
      <c r="E55" s="2" t="n"/>
      <c r="F55" s="2" t="n"/>
      <c r="G55" s="3" t="n"/>
      <c r="H55" s="3" t="n"/>
      <c r="I55" s="2" t="n"/>
      <c r="J55" s="2" t="n"/>
      <c r="K55" s="2" t="n"/>
      <c r="L55" s="4" t="n"/>
      <c r="M55" s="2" t="n"/>
      <c r="N55" s="2" t="n"/>
      <c r="O55" s="5" t="n"/>
      <c r="P55" s="322" t="n"/>
      <c r="Q55" s="322" t="n"/>
    </row>
    <row r="56">
      <c r="D56" s="2" t="n"/>
      <c r="E56" s="2" t="n"/>
      <c r="F56" s="2" t="n"/>
      <c r="G56" s="3" t="n"/>
      <c r="H56" s="3" t="n"/>
      <c r="I56" s="2" t="n"/>
      <c r="J56" s="2" t="n"/>
      <c r="K56" s="2" t="n"/>
      <c r="L56" s="4" t="n"/>
      <c r="M56" s="2" t="n"/>
      <c r="N56" s="2" t="n"/>
      <c r="O56" s="5" t="n"/>
      <c r="P56" s="322" t="n"/>
      <c r="Q56" s="322" t="n"/>
    </row>
    <row r="57">
      <c r="D57" s="2" t="n"/>
      <c r="E57" s="2" t="n"/>
      <c r="F57" s="2" t="n"/>
      <c r="G57" s="3" t="n"/>
      <c r="H57" s="3" t="n"/>
      <c r="I57" s="2" t="n"/>
      <c r="J57" s="2" t="n"/>
      <c r="K57" s="2" t="n"/>
      <c r="L57" s="4" t="n"/>
      <c r="M57" s="2" t="n"/>
      <c r="N57" s="2" t="n"/>
      <c r="O57" s="5" t="n"/>
      <c r="P57" s="322" t="n"/>
      <c r="Q57" s="322" t="n"/>
    </row>
    <row r="58">
      <c r="D58" s="2" t="n"/>
      <c r="E58" s="2" t="n"/>
      <c r="F58" s="2" t="n"/>
      <c r="G58" s="3" t="n"/>
      <c r="H58" s="3" t="n"/>
      <c r="I58" s="2" t="n"/>
      <c r="J58" s="2" t="n"/>
      <c r="K58" s="2" t="n"/>
      <c r="L58" s="4" t="n"/>
      <c r="M58" s="2" t="n"/>
      <c r="N58" s="2" t="n"/>
      <c r="O58" s="5" t="n"/>
      <c r="P58" s="322" t="n"/>
      <c r="Q58" s="322" t="n"/>
    </row>
    <row r="59">
      <c r="D59" s="2" t="n"/>
      <c r="E59" s="2" t="n"/>
      <c r="F59" s="2" t="n"/>
      <c r="G59" s="3" t="n"/>
      <c r="H59" s="3" t="n"/>
      <c r="I59" s="2" t="n"/>
      <c r="J59" s="2" t="n"/>
      <c r="K59" s="2" t="n"/>
      <c r="L59" s="4" t="n"/>
      <c r="M59" s="2" t="n"/>
      <c r="N59" s="2" t="n"/>
      <c r="O59" s="5" t="n"/>
      <c r="P59" s="322" t="n"/>
      <c r="Q59" s="322" t="n"/>
    </row>
    <row r="60">
      <c r="D60" s="2" t="n"/>
      <c r="E60" s="2" t="n"/>
      <c r="F60" s="2" t="n"/>
      <c r="G60" s="3" t="n"/>
      <c r="H60" s="3" t="n"/>
      <c r="I60" s="2" t="n"/>
      <c r="J60" s="2" t="n"/>
      <c r="K60" s="2" t="n"/>
      <c r="L60" s="4" t="n"/>
      <c r="M60" s="2" t="n"/>
      <c r="N60" s="2" t="n"/>
      <c r="O60" s="5" t="n"/>
      <c r="P60" s="322" t="n"/>
      <c r="Q60" s="322" t="n"/>
    </row>
    <row r="61">
      <c r="D61" s="2" t="n"/>
      <c r="E61" s="2" t="n"/>
      <c r="F61" s="2" t="n"/>
      <c r="G61" s="3" t="n"/>
      <c r="H61" s="3" t="n"/>
      <c r="I61" s="2" t="n"/>
      <c r="J61" s="2" t="n"/>
      <c r="K61" s="2" t="n"/>
      <c r="L61" s="4" t="n"/>
      <c r="M61" s="2" t="n"/>
      <c r="N61" s="2" t="n"/>
      <c r="O61" s="5" t="n"/>
      <c r="P61" s="322" t="n"/>
      <c r="Q61" s="322" t="n"/>
    </row>
    <row r="62">
      <c r="D62" s="2" t="n"/>
      <c r="E62" s="2" t="n"/>
      <c r="F62" s="2" t="n"/>
      <c r="G62" s="3" t="n"/>
      <c r="H62" s="3" t="n"/>
      <c r="I62" s="2" t="n"/>
      <c r="J62" s="2" t="n"/>
      <c r="K62" s="2" t="n"/>
      <c r="L62" s="4" t="n"/>
      <c r="M62" s="2" t="n"/>
      <c r="N62" s="2" t="n"/>
      <c r="O62" s="5" t="n"/>
      <c r="P62" s="322" t="n"/>
      <c r="Q62" s="322" t="n"/>
    </row>
    <row r="63">
      <c r="D63" s="2" t="n"/>
      <c r="E63" s="2" t="n"/>
      <c r="F63" s="2" t="n"/>
      <c r="G63" s="3" t="n"/>
      <c r="H63" s="3" t="n"/>
      <c r="I63" s="2" t="n"/>
      <c r="J63" s="2" t="n"/>
      <c r="K63" s="2" t="n"/>
      <c r="L63" s="4" t="n"/>
      <c r="M63" s="2" t="n"/>
      <c r="N63" s="2" t="n"/>
      <c r="O63" s="5" t="n"/>
      <c r="P63" s="322" t="n"/>
      <c r="Q63" s="322" t="n"/>
    </row>
    <row r="64">
      <c r="D64" s="2" t="n"/>
      <c r="E64" s="2" t="n"/>
      <c r="F64" s="2" t="n"/>
      <c r="G64" s="3" t="n"/>
      <c r="H64" s="3" t="n"/>
      <c r="I64" s="2" t="n"/>
      <c r="J64" s="2" t="n"/>
      <c r="K64" s="2" t="n"/>
      <c r="L64" s="4" t="n"/>
      <c r="M64" s="2" t="n"/>
      <c r="N64" s="2" t="n"/>
      <c r="O64" s="5" t="n"/>
      <c r="P64" s="322" t="n"/>
      <c r="Q64" s="322" t="n"/>
    </row>
    <row r="65">
      <c r="D65" s="2" t="n"/>
      <c r="E65" s="2" t="n"/>
      <c r="F65" s="2" t="n"/>
      <c r="G65" s="3" t="n"/>
      <c r="H65" s="3" t="n"/>
      <c r="I65" s="2" t="n"/>
      <c r="J65" s="2" t="n"/>
      <c r="K65" s="2" t="n"/>
      <c r="L65" s="4" t="n"/>
      <c r="M65" s="2" t="n"/>
      <c r="N65" s="2" t="n"/>
      <c r="O65" s="5" t="n"/>
      <c r="P65" s="322" t="n"/>
      <c r="Q65" s="322" t="n"/>
    </row>
    <row r="66">
      <c r="D66" s="2" t="n"/>
      <c r="E66" s="2" t="n"/>
      <c r="F66" s="2" t="n"/>
      <c r="G66" s="3" t="n"/>
      <c r="H66" s="3" t="n"/>
      <c r="I66" s="2" t="n"/>
      <c r="J66" s="2" t="n"/>
      <c r="K66" s="2" t="n"/>
      <c r="L66" s="4" t="n"/>
      <c r="M66" s="2" t="n"/>
      <c r="N66" s="2" t="n"/>
      <c r="O66" s="5" t="n"/>
      <c r="P66" s="322" t="n"/>
      <c r="Q66" s="322" t="n"/>
    </row>
    <row r="67">
      <c r="D67" s="2" t="n"/>
      <c r="E67" s="2" t="n"/>
      <c r="F67" s="2" t="n"/>
      <c r="G67" s="3" t="n"/>
      <c r="H67" s="3" t="n"/>
      <c r="I67" s="2" t="n"/>
      <c r="J67" s="2" t="n"/>
      <c r="K67" s="2" t="n"/>
      <c r="L67" s="4" t="n"/>
      <c r="M67" s="2" t="n"/>
      <c r="N67" s="2" t="n"/>
      <c r="O67" s="5" t="n"/>
      <c r="P67" s="322" t="n"/>
      <c r="Q67" s="322" t="n"/>
    </row>
    <row r="68">
      <c r="D68" s="2" t="n"/>
      <c r="E68" s="2" t="n"/>
      <c r="F68" s="2" t="n"/>
      <c r="G68" s="3" t="n"/>
      <c r="H68" s="3" t="n"/>
      <c r="I68" s="2" t="n"/>
      <c r="J68" s="2" t="n"/>
      <c r="K68" s="2" t="n"/>
      <c r="L68" s="4" t="n"/>
      <c r="M68" s="2" t="n"/>
      <c r="N68" s="2" t="n"/>
      <c r="O68" s="5" t="n"/>
      <c r="P68" s="322" t="n"/>
      <c r="Q68" s="322" t="n"/>
    </row>
    <row r="69">
      <c r="D69" s="2" t="n"/>
      <c r="E69" s="2" t="n"/>
      <c r="F69" s="2" t="n"/>
      <c r="G69" s="3" t="n"/>
      <c r="H69" s="3" t="n"/>
      <c r="I69" s="2" t="n"/>
      <c r="J69" s="2" t="n"/>
      <c r="K69" s="2" t="n"/>
      <c r="L69" s="4" t="n"/>
      <c r="M69" s="2" t="n"/>
      <c r="N69" s="2" t="n"/>
      <c r="O69" s="5" t="n"/>
      <c r="P69" s="322" t="n"/>
      <c r="Q69" s="322" t="n"/>
    </row>
    <row r="70">
      <c r="D70" s="2" t="n"/>
      <c r="E70" s="2" t="n"/>
      <c r="F70" s="2" t="n"/>
      <c r="G70" s="3" t="n"/>
      <c r="H70" s="3" t="n"/>
      <c r="I70" s="2" t="n"/>
      <c r="J70" s="2" t="n"/>
      <c r="K70" s="2" t="n"/>
      <c r="L70" s="4" t="n"/>
      <c r="M70" s="2" t="n"/>
      <c r="N70" s="2" t="n"/>
      <c r="O70" s="5" t="n"/>
      <c r="P70" s="322" t="n"/>
      <c r="Q70" s="322" t="n"/>
    </row>
    <row r="71">
      <c r="D71" s="2" t="n"/>
      <c r="E71" s="2" t="n"/>
      <c r="F71" s="2" t="n"/>
      <c r="G71" s="3" t="n"/>
      <c r="H71" s="3" t="n"/>
      <c r="I71" s="2" t="n"/>
      <c r="J71" s="2" t="n"/>
      <c r="K71" s="2" t="n"/>
      <c r="L71" s="4" t="n"/>
      <c r="M71" s="2" t="n"/>
      <c r="N71" s="2" t="n"/>
      <c r="O71" s="5" t="n"/>
      <c r="P71" s="322" t="n"/>
      <c r="Q71" s="322" t="n"/>
    </row>
    <row r="72">
      <c r="D72" s="2" t="n"/>
      <c r="E72" s="2" t="n"/>
      <c r="F72" s="2" t="n"/>
      <c r="G72" s="3" t="n"/>
      <c r="H72" s="3" t="n"/>
      <c r="I72" s="2" t="n"/>
      <c r="J72" s="2" t="n"/>
      <c r="K72" s="2" t="n"/>
      <c r="L72" s="4" t="n"/>
      <c r="M72" s="2" t="n"/>
      <c r="N72" s="2" t="n"/>
      <c r="O72" s="5" t="n"/>
      <c r="P72" s="322" t="n"/>
      <c r="Q72" s="322" t="n"/>
    </row>
    <row r="73">
      <c r="D73" s="2" t="n"/>
      <c r="E73" s="2" t="n"/>
      <c r="F73" s="2" t="n"/>
      <c r="G73" s="3" t="n"/>
      <c r="H73" s="3" t="n"/>
      <c r="I73" s="2" t="n"/>
      <c r="J73" s="2" t="n"/>
      <c r="K73" s="2" t="n"/>
      <c r="L73" s="4" t="n"/>
      <c r="M73" s="2" t="n"/>
      <c r="N73" s="2" t="n"/>
      <c r="O73" s="5" t="n"/>
      <c r="P73" s="322" t="n"/>
      <c r="Q73" s="322" t="n"/>
    </row>
    <row r="74">
      <c r="D74" s="2" t="n"/>
      <c r="E74" s="2" t="n"/>
      <c r="F74" s="2" t="n"/>
      <c r="G74" s="3" t="n"/>
      <c r="H74" s="3" t="n"/>
      <c r="I74" s="2" t="n"/>
      <c r="J74" s="2" t="n"/>
      <c r="K74" s="2" t="n"/>
      <c r="L74" s="4" t="n"/>
      <c r="M74" s="2" t="n"/>
      <c r="N74" s="2" t="n"/>
      <c r="O74" s="5" t="n"/>
      <c r="P74" s="322" t="n"/>
      <c r="Q74" s="322" t="n"/>
    </row>
    <row r="75">
      <c r="D75" s="2" t="n"/>
      <c r="E75" s="2" t="n"/>
      <c r="F75" s="2" t="n"/>
      <c r="G75" s="3" t="n"/>
      <c r="H75" s="3" t="n"/>
      <c r="I75" s="2" t="n"/>
      <c r="J75" s="2" t="n"/>
      <c r="K75" s="2" t="n"/>
      <c r="L75" s="4" t="n"/>
      <c r="M75" s="2" t="n"/>
      <c r="N75" s="2" t="n"/>
      <c r="O75" s="5" t="n"/>
      <c r="P75" s="322" t="n"/>
      <c r="Q75" s="322" t="n"/>
    </row>
    <row r="76">
      <c r="D76" s="2" t="n"/>
      <c r="E76" s="2" t="n"/>
      <c r="F76" s="2" t="n"/>
      <c r="G76" s="3" t="n"/>
      <c r="H76" s="3" t="n"/>
      <c r="I76" s="2" t="n"/>
      <c r="J76" s="2" t="n"/>
      <c r="K76" s="2" t="n"/>
      <c r="L76" s="4" t="n"/>
      <c r="M76" s="2" t="n"/>
      <c r="N76" s="2" t="n"/>
      <c r="O76" s="5" t="n"/>
      <c r="P76" s="322" t="n"/>
      <c r="Q76" s="322" t="n"/>
    </row>
    <row r="77">
      <c r="D77" s="2" t="n"/>
      <c r="E77" s="2" t="n"/>
      <c r="F77" s="2" t="n"/>
      <c r="G77" s="3" t="n"/>
      <c r="H77" s="3" t="n"/>
      <c r="I77" s="2" t="n"/>
      <c r="J77" s="2" t="n"/>
      <c r="K77" s="2" t="n"/>
      <c r="L77" s="4" t="n"/>
      <c r="M77" s="2" t="n"/>
      <c r="N77" s="2" t="n"/>
      <c r="O77" s="5" t="n"/>
      <c r="P77" s="322" t="n"/>
      <c r="Q77" s="322" t="n"/>
    </row>
    <row r="78">
      <c r="D78" s="2" t="n"/>
      <c r="E78" s="2" t="n"/>
      <c r="F78" s="2" t="n"/>
      <c r="G78" s="3" t="n"/>
      <c r="H78" s="3" t="n"/>
      <c r="I78" s="2" t="n"/>
      <c r="J78" s="2" t="n"/>
      <c r="K78" s="2" t="n"/>
      <c r="L78" s="4" t="n"/>
      <c r="M78" s="2" t="n"/>
      <c r="N78" s="2" t="n"/>
      <c r="O78" s="5" t="n"/>
      <c r="P78" s="322" t="n"/>
      <c r="Q78" s="322" t="n"/>
    </row>
    <row r="79">
      <c r="D79" s="2" t="n"/>
      <c r="E79" s="2" t="n"/>
      <c r="F79" s="2" t="n"/>
      <c r="G79" s="3" t="n"/>
      <c r="H79" s="3" t="n"/>
      <c r="I79" s="2" t="n"/>
      <c r="J79" s="2" t="n"/>
      <c r="K79" s="2" t="n"/>
      <c r="L79" s="4" t="n"/>
      <c r="M79" s="2" t="n"/>
      <c r="N79" s="2" t="n"/>
      <c r="O79" s="5" t="n"/>
      <c r="P79" s="322" t="n"/>
      <c r="Q79" s="322" t="n"/>
    </row>
    <row r="80">
      <c r="D80" s="2" t="n"/>
      <c r="E80" s="2" t="n"/>
      <c r="F80" s="2" t="n"/>
      <c r="G80" s="3" t="n"/>
      <c r="H80" s="3" t="n"/>
      <c r="I80" s="2" t="n"/>
      <c r="J80" s="2" t="n"/>
      <c r="K80" s="2" t="n"/>
      <c r="L80" s="4" t="n"/>
      <c r="M80" s="2" t="n"/>
      <c r="N80" s="2" t="n"/>
      <c r="O80" s="5" t="n"/>
      <c r="P80" s="322" t="n"/>
      <c r="Q80" s="322" t="n"/>
    </row>
    <row r="81">
      <c r="D81" s="2" t="n"/>
      <c r="E81" s="2" t="n"/>
      <c r="F81" s="2" t="n"/>
      <c r="G81" s="3" t="n"/>
      <c r="H81" s="3" t="n"/>
      <c r="I81" s="2" t="n"/>
      <c r="J81" s="2" t="n"/>
      <c r="K81" s="2" t="n"/>
      <c r="L81" s="4" t="n"/>
      <c r="M81" s="2" t="n"/>
      <c r="N81" s="2" t="n"/>
      <c r="O81" s="5" t="n"/>
      <c r="P81" s="322" t="n"/>
      <c r="Q81" s="322" t="n"/>
    </row>
    <row r="82">
      <c r="D82" s="2" t="n"/>
      <c r="E82" s="2" t="n"/>
      <c r="F82" s="2" t="n"/>
      <c r="G82" s="3" t="n"/>
      <c r="H82" s="3" t="n"/>
      <c r="I82" s="2" t="n"/>
      <c r="J82" s="2" t="n"/>
      <c r="K82" s="2" t="n"/>
      <c r="L82" s="4" t="n"/>
      <c r="M82" s="2" t="n"/>
      <c r="N82" s="2" t="n"/>
      <c r="O82" s="5" t="n"/>
      <c r="P82" s="322" t="n"/>
      <c r="Q82" s="322" t="n"/>
    </row>
    <row r="83">
      <c r="D83" s="2" t="n"/>
      <c r="E83" s="2" t="n"/>
      <c r="F83" s="2" t="n"/>
      <c r="G83" s="3" t="n"/>
      <c r="H83" s="3" t="n"/>
      <c r="I83" s="2" t="n"/>
      <c r="J83" s="2" t="n"/>
      <c r="K83" s="2" t="n"/>
      <c r="L83" s="4" t="n"/>
      <c r="M83" s="2" t="n"/>
      <c r="N83" s="2" t="n"/>
      <c r="O83" s="5" t="n"/>
      <c r="P83" s="322" t="n"/>
      <c r="Q83" s="322" t="n"/>
    </row>
    <row r="84">
      <c r="D84" s="2" t="n"/>
      <c r="E84" s="2" t="n"/>
      <c r="F84" s="2" t="n"/>
      <c r="G84" s="3" t="n"/>
      <c r="H84" s="3" t="n"/>
      <c r="I84" s="2" t="n"/>
      <c r="J84" s="2" t="n"/>
      <c r="K84" s="2" t="n"/>
      <c r="L84" s="4" t="n"/>
      <c r="M84" s="2" t="n"/>
      <c r="N84" s="2" t="n"/>
      <c r="O84" s="5" t="n"/>
      <c r="P84" s="322" t="n"/>
      <c r="Q84" s="322" t="n"/>
    </row>
    <row r="85">
      <c r="D85" s="2" t="n"/>
      <c r="E85" s="2" t="n"/>
      <c r="F85" s="2" t="n"/>
      <c r="G85" s="3" t="n"/>
      <c r="H85" s="3" t="n"/>
      <c r="I85" s="2" t="n"/>
      <c r="J85" s="2" t="n"/>
      <c r="K85" s="2" t="n"/>
      <c r="L85" s="4" t="n"/>
      <c r="M85" s="2" t="n"/>
      <c r="N85" s="2" t="n"/>
      <c r="O85" s="5" t="n"/>
      <c r="P85" s="322" t="n"/>
      <c r="Q85" s="322" t="n"/>
    </row>
    <row r="86">
      <c r="D86" s="2" t="n"/>
      <c r="E86" s="2" t="n"/>
      <c r="F86" s="2" t="n"/>
      <c r="G86" s="3" t="n"/>
      <c r="H86" s="3" t="n"/>
      <c r="I86" s="2" t="n"/>
      <c r="J86" s="2" t="n"/>
      <c r="K86" s="2" t="n"/>
      <c r="L86" s="4" t="n"/>
      <c r="M86" s="2" t="n"/>
      <c r="N86" s="2" t="n"/>
      <c r="O86" s="5" t="n"/>
      <c r="P86" s="322" t="n"/>
      <c r="Q86" s="322" t="n"/>
    </row>
    <row r="87">
      <c r="D87" s="2" t="n"/>
      <c r="E87" s="2" t="n"/>
      <c r="F87" s="2" t="n"/>
      <c r="G87" s="3" t="n"/>
      <c r="H87" s="3" t="n"/>
      <c r="I87" s="2" t="n"/>
      <c r="J87" s="2" t="n"/>
      <c r="K87" s="2" t="n"/>
      <c r="L87" s="4" t="n"/>
      <c r="M87" s="2" t="n"/>
      <c r="N87" s="2" t="n"/>
      <c r="O87" s="5" t="n"/>
      <c r="P87" s="322" t="n"/>
      <c r="Q87" s="322" t="n"/>
    </row>
    <row r="88">
      <c r="D88" s="2" t="n"/>
      <c r="E88" s="2" t="n"/>
      <c r="F88" s="2" t="n"/>
      <c r="G88" s="3" t="n"/>
      <c r="H88" s="3" t="n"/>
      <c r="I88" s="2" t="n"/>
      <c r="J88" s="2" t="n"/>
      <c r="K88" s="2" t="n"/>
      <c r="L88" s="4" t="n"/>
      <c r="M88" s="2" t="n"/>
      <c r="N88" s="2" t="n"/>
      <c r="O88" s="5" t="n"/>
      <c r="P88" s="322" t="n"/>
      <c r="Q88" s="322" t="n"/>
    </row>
    <row r="89">
      <c r="D89" s="2" t="n"/>
      <c r="E89" s="2" t="n"/>
      <c r="F89" s="2" t="n"/>
      <c r="G89" s="3" t="n"/>
      <c r="H89" s="3" t="n"/>
      <c r="I89" s="2" t="n"/>
      <c r="J89" s="2" t="n"/>
      <c r="K89" s="2" t="n"/>
      <c r="L89" s="4" t="n"/>
      <c r="M89" s="2" t="n"/>
      <c r="N89" s="2" t="n"/>
      <c r="O89" s="5" t="n"/>
      <c r="P89" s="322" t="n"/>
      <c r="Q89" s="322" t="n"/>
    </row>
    <row r="90">
      <c r="D90" s="2" t="n"/>
      <c r="E90" s="2" t="n"/>
      <c r="F90" s="2" t="n"/>
      <c r="G90" s="3" t="n"/>
      <c r="H90" s="3" t="n"/>
      <c r="I90" s="2" t="n"/>
      <c r="J90" s="2" t="n"/>
      <c r="K90" s="2" t="n"/>
      <c r="L90" s="4" t="n"/>
      <c r="M90" s="2" t="n"/>
      <c r="N90" s="2" t="n"/>
      <c r="O90" s="5" t="n"/>
      <c r="P90" s="322" t="n"/>
      <c r="Q90" s="322" t="n"/>
    </row>
    <row r="91">
      <c r="D91" s="2" t="n"/>
      <c r="E91" s="2" t="n"/>
      <c r="F91" s="2" t="n"/>
      <c r="G91" s="3" t="n"/>
      <c r="H91" s="3" t="n"/>
      <c r="I91" s="2" t="n"/>
      <c r="J91" s="2" t="n"/>
      <c r="K91" s="2" t="n"/>
      <c r="L91" s="4" t="n"/>
      <c r="M91" s="2" t="n"/>
      <c r="N91" s="2" t="n"/>
      <c r="O91" s="5" t="n"/>
      <c r="P91" s="322" t="n"/>
      <c r="Q91" s="322" t="n"/>
    </row>
    <row r="92">
      <c r="D92" s="2" t="n"/>
      <c r="E92" s="2" t="n"/>
      <c r="F92" s="2" t="n"/>
      <c r="G92" s="3" t="n"/>
      <c r="H92" s="3" t="n"/>
      <c r="I92" s="2" t="n"/>
      <c r="J92" s="2" t="n"/>
      <c r="K92" s="2" t="n"/>
      <c r="L92" s="4" t="n"/>
      <c r="M92" s="2" t="n"/>
      <c r="N92" s="2" t="n"/>
      <c r="O92" s="5" t="n"/>
      <c r="P92" s="322" t="n"/>
      <c r="Q92" s="322" t="n"/>
    </row>
    <row r="93">
      <c r="D93" s="2" t="n"/>
      <c r="E93" s="2" t="n"/>
      <c r="F93" s="2" t="n"/>
      <c r="G93" s="3" t="n"/>
      <c r="H93" s="3" t="n"/>
      <c r="I93" s="2" t="n"/>
      <c r="J93" s="2" t="n"/>
      <c r="K93" s="2" t="n"/>
      <c r="L93" s="4" t="n"/>
      <c r="M93" s="2" t="n"/>
      <c r="N93" s="2" t="n"/>
      <c r="O93" s="5" t="n"/>
      <c r="P93" s="322" t="n"/>
      <c r="Q93" s="322" t="n"/>
    </row>
    <row r="94">
      <c r="P94" s="322" t="n"/>
      <c r="Q94" s="322" t="n"/>
    </row>
    <row r="95">
      <c r="P95" s="322" t="n"/>
      <c r="Q95" s="322" t="n"/>
    </row>
    <row r="96">
      <c r="P96" s="322" t="n"/>
      <c r="Q96" s="322" t="n"/>
    </row>
    <row r="97">
      <c r="P97" s="322" t="n"/>
      <c r="Q97" s="322" t="n"/>
    </row>
    <row r="98">
      <c r="P98" s="322" t="n"/>
      <c r="Q98" s="322" t="n"/>
    </row>
    <row r="99">
      <c r="P99" s="322" t="n"/>
      <c r="Q99" s="322" t="n"/>
    </row>
    <row r="100">
      <c r="P100" s="322" t="n"/>
      <c r="Q100" s="322" t="n"/>
    </row>
    <row r="101">
      <c r="P101" s="322" t="n"/>
      <c r="Q101" s="322" t="n"/>
    </row>
    <row r="102">
      <c r="P102" s="322" t="n"/>
      <c r="Q102" s="322" t="n"/>
    </row>
    <row r="103">
      <c r="P103" s="322" t="n"/>
      <c r="Q103" s="322" t="n"/>
    </row>
    <row r="104">
      <c r="P104" s="322" t="n"/>
      <c r="Q104" s="322" t="n"/>
    </row>
    <row r="105">
      <c r="P105" s="322" t="n"/>
      <c r="Q105" s="322" t="n"/>
    </row>
    <row r="106">
      <c r="P106" s="322" t="n"/>
      <c r="Q106" s="322" t="n"/>
    </row>
    <row r="107">
      <c r="P107" s="322" t="n"/>
      <c r="Q107" s="322" t="n"/>
    </row>
    <row r="108">
      <c r="P108" s="322" t="n"/>
      <c r="Q108" s="322" t="n"/>
    </row>
    <row r="109">
      <c r="P109" s="322" t="n"/>
      <c r="Q109" s="322" t="n"/>
    </row>
    <row r="241">
      <c r="C241" s="1" t="n">
        <v>272</v>
      </c>
    </row>
    <row r="242">
      <c r="C242" s="1" t="n">
        <v>272</v>
      </c>
    </row>
    <row r="243">
      <c r="C243" s="1" t="n">
        <v>272</v>
      </c>
    </row>
    <row r="244">
      <c r="C244" s="1" t="n">
        <v>272</v>
      </c>
    </row>
    <row r="245">
      <c r="C245" s="1" t="n">
        <v>272</v>
      </c>
    </row>
    <row r="246">
      <c r="C246" s="1" t="n">
        <v>272</v>
      </c>
    </row>
    <row r="247">
      <c r="C247" s="1" t="n">
        <v>272</v>
      </c>
    </row>
    <row r="248">
      <c r="C248" s="1" t="n">
        <v>272</v>
      </c>
    </row>
    <row r="249">
      <c r="C249" s="1" t="n">
        <v>272</v>
      </c>
    </row>
    <row r="250">
      <c r="C250" s="1" t="n">
        <v>272</v>
      </c>
    </row>
    <row r="251">
      <c r="C251" s="1" t="n">
        <v>272</v>
      </c>
    </row>
    <row r="252">
      <c r="C252" s="1" t="n">
        <v>272</v>
      </c>
    </row>
    <row r="253">
      <c r="C253" s="1" t="n">
        <v>272</v>
      </c>
    </row>
    <row r="254">
      <c r="C254" s="1" t="n">
        <v>272</v>
      </c>
    </row>
    <row r="255">
      <c r="C255" s="1" t="n">
        <v>272</v>
      </c>
    </row>
    <row r="256">
      <c r="C256" s="1" t="n">
        <v>272</v>
      </c>
    </row>
    <row r="257">
      <c r="C257" s="1" t="n">
        <v>162</v>
      </c>
    </row>
  </sheetData>
  <mergeCells count="40">
    <mergeCell ref="Y24:Y25"/>
    <mergeCell ref="F24:F25"/>
    <mergeCell ref="R24:R25"/>
    <mergeCell ref="E8:F8"/>
    <mergeCell ref="W24:W25"/>
    <mergeCell ref="E10:F10"/>
    <mergeCell ref="J24:J25"/>
    <mergeCell ref="A14:C14"/>
    <mergeCell ref="V24:V25"/>
    <mergeCell ref="A17:C17"/>
    <mergeCell ref="I8:K8"/>
    <mergeCell ref="G24:G25"/>
    <mergeCell ref="E9:F9"/>
    <mergeCell ref="S24:S25"/>
    <mergeCell ref="I24:I25"/>
    <mergeCell ref="B24:B25"/>
    <mergeCell ref="D24:D25"/>
    <mergeCell ref="M24:M25"/>
    <mergeCell ref="E6:F6"/>
    <mergeCell ref="A13:C13"/>
    <mergeCell ref="I10:K10"/>
    <mergeCell ref="A16:C16"/>
    <mergeCell ref="E11:F11"/>
    <mergeCell ref="A5:B5"/>
    <mergeCell ref="I9:K9"/>
    <mergeCell ref="N24:N25"/>
    <mergeCell ref="A15:C15"/>
    <mergeCell ref="P24:P25"/>
    <mergeCell ref="H24:H25"/>
    <mergeCell ref="I6:K6"/>
    <mergeCell ref="E7:F7"/>
    <mergeCell ref="Z24:Z25"/>
    <mergeCell ref="R22:T23"/>
    <mergeCell ref="K24:K25"/>
    <mergeCell ref="T24:T25"/>
    <mergeCell ref="C24:C25"/>
    <mergeCell ref="E24:E25"/>
    <mergeCell ref="Q24:Q25"/>
    <mergeCell ref="I7:K7"/>
    <mergeCell ref="M22:N23"/>
  </mergeCells>
  <pageMargins left="0.5" right="0.5833333333333334" top="0.5" bottom="0.5" header="0" footer="0"/>
  <pageSetup orientation="landscape" horizontalDpi="4294967292" verticalDpi="4294967292"/>
</worksheet>
</file>

<file path=xl/worksheets/sheet2.xml><?xml version="1.0" encoding="utf-8"?>
<worksheet xmlns="http://schemas.openxmlformats.org/spreadsheetml/2006/main">
  <sheetPr codeName="Sheet2">
    <outlinePr summaryBelow="1" summaryRight="1"/>
    <pageSetUpPr/>
  </sheetPr>
  <dimension ref="A1:U52"/>
  <sheetViews>
    <sheetView showGridLines="0" topLeftCell="A38" zoomScale="60" zoomScaleNormal="60" workbookViewId="0">
      <selection activeCell="B14" sqref="B14:J14"/>
    </sheetView>
  </sheetViews>
  <sheetFormatPr baseColWidth="10" defaultColWidth="9.69140625" defaultRowHeight="15.5"/>
  <cols>
    <col width="2.69140625" customWidth="1" style="1" min="1" max="1"/>
    <col width="14.07421875" customWidth="1" style="1" min="2" max="2"/>
    <col width="9.69140625" customWidth="1" style="1" min="3" max="3"/>
    <col width="16.23046875" customWidth="1" style="1" min="4" max="4"/>
    <col width="9.69140625" customWidth="1" style="1" min="5" max="5"/>
    <col width="5.23046875" customWidth="1" style="1" min="6" max="6"/>
    <col width="28.4609375" customWidth="1" style="1" min="7" max="7"/>
    <col width="19.07421875" customWidth="1" style="1" min="8" max="8"/>
    <col width="20.53515625" customWidth="1" style="1" min="9" max="9"/>
    <col width="85.69140625" customWidth="1" style="1" min="10" max="10"/>
    <col width="9.69140625" customWidth="1" style="1" min="11" max="18"/>
    <col hidden="1" style="1" min="19" max="21"/>
    <col width="9.69140625" customWidth="1" style="1" min="22" max="16384"/>
  </cols>
  <sheetData>
    <row r="1" ht="18" customHeight="1">
      <c r="B1" s="61" t="inlineStr">
        <is>
          <t>Updated Feb,23</t>
        </is>
      </c>
    </row>
    <row r="2" ht="33.5" customHeight="1">
      <c r="D2" s="15" t="n"/>
      <c r="E2" s="15" t="n"/>
      <c r="F2" s="15" t="n"/>
      <c r="G2" s="15" t="n"/>
      <c r="H2" s="15" t="n"/>
      <c r="I2" s="60" t="inlineStr">
        <is>
          <t>SPECIAL BID REQUEST FORM</t>
        </is>
      </c>
      <c r="J2" s="26" t="n"/>
      <c r="S2" s="1" t="inlineStr">
        <is>
          <t>Argentina</t>
        </is>
      </c>
      <c r="T2" s="1" t="inlineStr">
        <is>
          <t>Yes</t>
        </is>
      </c>
      <c r="U2" s="1" t="inlineStr">
        <is>
          <t>RTD Available</t>
        </is>
      </c>
    </row>
    <row r="3" ht="16" customHeight="1" thickBot="1">
      <c r="S3" s="1" t="inlineStr">
        <is>
          <t>Bolivia</t>
        </is>
      </c>
      <c r="T3" s="1" t="inlineStr">
        <is>
          <t>No</t>
        </is>
      </c>
      <c r="U3" s="1" t="inlineStr">
        <is>
          <t>Manual Bid</t>
        </is>
      </c>
    </row>
    <row r="4" ht="18.5" customHeight="1" thickBot="1">
      <c r="B4" s="323" t="inlineStr">
        <is>
          <t>Country*</t>
        </is>
      </c>
      <c r="C4" s="324" t="n"/>
      <c r="D4" s="324" t="n"/>
      <c r="E4" s="324" t="n"/>
      <c r="F4" s="324" t="n"/>
      <c r="G4" s="324" t="n"/>
      <c r="H4" s="324" t="n"/>
      <c r="I4" s="324" t="n"/>
      <c r="J4" s="325" t="n"/>
      <c r="S4" s="1" t="inlineStr">
        <is>
          <t>Belize</t>
        </is>
      </c>
    </row>
    <row r="5" ht="18.5" customHeight="1" thickBot="1">
      <c r="B5" s="326" t="inlineStr">
        <is>
          <t>Colombia</t>
        </is>
      </c>
      <c r="C5" s="324" t="n"/>
      <c r="D5" s="324" t="n"/>
      <c r="E5" s="324" t="n"/>
      <c r="F5" s="324" t="n"/>
      <c r="G5" s="324" t="n"/>
      <c r="H5" s="324" t="n"/>
      <c r="I5" s="324" t="n"/>
      <c r="J5" s="325" t="n"/>
      <c r="S5" s="1" t="inlineStr">
        <is>
          <t>Chile</t>
        </is>
      </c>
    </row>
    <row r="6" ht="18.5" customHeight="1" thickBot="1">
      <c r="B6" s="327" t="inlineStr">
        <is>
          <t>Customer Name*</t>
        </is>
      </c>
      <c r="C6" s="328" t="n"/>
      <c r="D6" s="329" t="n"/>
      <c r="E6" s="330" t="inlineStr">
        <is>
          <t>Customer Site Number*</t>
        </is>
      </c>
      <c r="F6" s="324" t="n"/>
      <c r="G6" s="324" t="n"/>
      <c r="H6" s="325" t="n"/>
      <c r="I6" s="327" t="inlineStr">
        <is>
          <t>Passport Advantage Agreement # (Optional)</t>
        </is>
      </c>
      <c r="J6" s="329" t="n"/>
      <c r="S6" s="1" t="inlineStr">
        <is>
          <t>Colombia</t>
        </is>
      </c>
    </row>
    <row r="7" ht="18.5" customHeight="1" thickBot="1">
      <c r="B7" s="228" t="inlineStr">
        <is>
          <t>Electrificadora de Santander S.A. E.S.P.</t>
        </is>
      </c>
      <c r="C7" s="331" t="n"/>
      <c r="D7" s="331" t="n"/>
      <c r="E7" s="332" t="inlineStr">
        <is>
          <t>354350</t>
        </is>
      </c>
      <c r="F7" s="324" t="n"/>
      <c r="G7" s="324" t="n"/>
      <c r="H7" s="325" t="n"/>
      <c r="I7" s="221" t="inlineStr">
        <is>
          <t>0000277242</t>
        </is>
      </c>
      <c r="J7" s="333" t="n"/>
      <c r="S7" s="1" t="inlineStr">
        <is>
          <t>Costa Rica</t>
        </is>
      </c>
    </row>
    <row r="8" ht="18.5" customHeight="1" thickBot="1">
      <c r="B8" s="43" t="n"/>
      <c r="C8" s="44" t="n"/>
      <c r="D8" s="44" t="n"/>
      <c r="E8" s="44" t="n"/>
      <c r="F8" s="44" t="n"/>
      <c r="G8" s="44" t="n"/>
      <c r="H8" s="44" t="n"/>
      <c r="I8" s="44" t="n"/>
      <c r="J8" s="45" t="n"/>
      <c r="S8" s="1" t="inlineStr">
        <is>
          <t>Republica Dominicana</t>
        </is>
      </c>
    </row>
    <row r="9" ht="18.5" customHeight="1" thickBot="1">
      <c r="B9" s="327" t="inlineStr">
        <is>
          <t>Distributor Name*</t>
        </is>
      </c>
      <c r="C9" s="328" t="n"/>
      <c r="D9" s="329" t="n"/>
      <c r="E9" s="330" t="inlineStr">
        <is>
          <t>Reseller Name*</t>
        </is>
      </c>
      <c r="F9" s="324" t="n"/>
      <c r="G9" s="324" t="n"/>
      <c r="H9" s="325" t="n"/>
      <c r="I9" s="327" t="inlineStr">
        <is>
          <t>Reseller Site Number*</t>
        </is>
      </c>
      <c r="J9" s="329" t="n"/>
      <c r="S9" s="1" t="inlineStr">
        <is>
          <t>Ecuador</t>
        </is>
      </c>
    </row>
    <row r="10" ht="18.5" customHeight="1" thickBot="1">
      <c r="B10" s="230" t="inlineStr">
        <is>
          <t>Ingram Micro Colombia</t>
        </is>
      </c>
      <c r="C10" s="331" t="n"/>
      <c r="D10" s="331" t="n"/>
      <c r="E10" s="332" t="inlineStr">
        <is>
          <t>Solex Colombia SAS</t>
        </is>
      </c>
      <c r="F10" s="324" t="n"/>
      <c r="G10" s="324" t="n"/>
      <c r="H10" s="325" t="n"/>
      <c r="I10" s="223" t="inlineStr">
        <is>
          <t>0003476001</t>
        </is>
      </c>
      <c r="J10" s="333" t="n"/>
      <c r="S10" s="1" t="inlineStr">
        <is>
          <t>Guatemala</t>
        </is>
      </c>
    </row>
    <row r="11" ht="18.5" customHeight="1" thickBot="1">
      <c r="B11" s="332" t="n"/>
      <c r="C11" s="324" t="n"/>
      <c r="D11" s="324" t="n"/>
      <c r="E11" s="324" t="n"/>
      <c r="F11" s="324" t="n"/>
      <c r="G11" s="324" t="n"/>
      <c r="H11" s="324" t="n"/>
      <c r="I11" s="324" t="n"/>
      <c r="J11" s="325" t="n"/>
      <c r="S11" s="1" t="inlineStr">
        <is>
          <t>Honduras</t>
        </is>
      </c>
    </row>
    <row r="12" ht="15.75" customHeight="1" thickBot="1">
      <c r="B12" s="327" t="inlineStr">
        <is>
          <t>RTD Available or Manual Bid?*</t>
        </is>
      </c>
      <c r="C12" s="328" t="n"/>
      <c r="D12" s="329" t="n"/>
      <c r="E12" s="334" t="inlineStr">
        <is>
          <t>RTD Number (Mandatory if RTD Available)*</t>
        </is>
      </c>
      <c r="F12" s="335" t="n"/>
      <c r="G12" s="335" t="n"/>
      <c r="H12" s="335" t="n"/>
      <c r="I12" s="335" t="n"/>
      <c r="J12" s="336" t="n"/>
      <c r="S12" s="1" t="inlineStr">
        <is>
          <t>Mexico</t>
        </is>
      </c>
    </row>
    <row r="13" ht="18.5" customHeight="1" thickBot="1">
      <c r="B13" s="228" t="inlineStr">
        <is>
          <t>Manual Bid</t>
        </is>
      </c>
      <c r="C13" s="331" t="n"/>
      <c r="D13" s="331" t="n"/>
      <c r="E13" s="337">
        <f>IF(B13="Manual Bid","N/A",IF(B13="","Select on the left field if RTD Available or Manual Bid","Add RTD Number"))</f>
        <v/>
      </c>
      <c r="F13" s="324" t="n"/>
      <c r="G13" s="324" t="n"/>
      <c r="H13" s="324" t="n"/>
      <c r="I13" s="324" t="n"/>
      <c r="J13" s="325" t="n"/>
      <c r="S13" s="1" t="inlineStr">
        <is>
          <t>Panama</t>
        </is>
      </c>
    </row>
    <row r="14" ht="18.5" customHeight="1" thickBot="1">
      <c r="B14" s="332" t="n"/>
      <c r="C14" s="324" t="n"/>
      <c r="D14" s="324" t="n"/>
      <c r="E14" s="324" t="n"/>
      <c r="F14" s="324" t="n"/>
      <c r="G14" s="324" t="n"/>
      <c r="H14" s="324" t="n"/>
      <c r="I14" s="324" t="n"/>
      <c r="J14" s="325" t="n"/>
      <c r="S14" s="1" t="inlineStr">
        <is>
          <t>Peru</t>
        </is>
      </c>
    </row>
    <row r="15" hidden="1" ht="16.25" customHeight="1" thickBot="1">
      <c r="B15" s="46" t="inlineStr">
        <is>
          <t>Estimated Close Date</t>
        </is>
      </c>
      <c r="C15" s="47" t="n"/>
      <c r="D15" s="47" t="n"/>
      <c r="E15" s="48" t="inlineStr">
        <is>
          <t>Have similar deals</t>
        </is>
      </c>
      <c r="F15" s="47" t="n"/>
      <c r="G15" s="48" t="inlineStr">
        <is>
          <t xml:space="preserve">Is This Bid Part of a </t>
        </is>
      </c>
      <c r="H15" s="49" t="n"/>
      <c r="I15" s="47" t="n"/>
      <c r="J15" s="50" t="inlineStr">
        <is>
          <t xml:space="preserve">Unannounced Product? </t>
        </is>
      </c>
      <c r="S15" s="1" t="inlineStr">
        <is>
          <t>Paraguai</t>
        </is>
      </c>
    </row>
    <row r="16" hidden="1" ht="16.25" customHeight="1" thickBot="1">
      <c r="B16" s="51" t="n"/>
      <c r="C16" s="52" t="n"/>
      <c r="D16" s="52" t="n"/>
      <c r="E16" s="53" t="inlineStr">
        <is>
          <t xml:space="preserve">been presented to </t>
        </is>
      </c>
      <c r="F16" s="52" t="n"/>
      <c r="G16" s="53" t="inlineStr">
        <is>
          <t>LargerTotal Solution?</t>
        </is>
      </c>
      <c r="H16" s="54" t="n"/>
      <c r="I16" s="52" t="n"/>
      <c r="J16" s="55" t="inlineStr">
        <is>
          <t>(YES OR NO)</t>
        </is>
      </c>
      <c r="S16" s="1" t="inlineStr">
        <is>
          <t>El Salvador</t>
        </is>
      </c>
    </row>
    <row r="17" hidden="1" ht="16.25" customHeight="1" thickBot="1">
      <c r="B17" s="56" t="n"/>
      <c r="C17" s="52" t="n"/>
      <c r="D17" s="52" t="n"/>
      <c r="E17" s="53" t="inlineStr">
        <is>
          <t>customer?</t>
        </is>
      </c>
      <c r="F17" s="52" t="n"/>
      <c r="G17" s="53" t="inlineStr">
        <is>
          <t>(ELA, Hdwr,Services, other SWR?)</t>
        </is>
      </c>
      <c r="H17" s="54" t="n"/>
      <c r="I17" s="52" t="n"/>
      <c r="J17" s="55" t="n"/>
      <c r="S17" s="1" t="inlineStr">
        <is>
          <t>Uruguai</t>
        </is>
      </c>
    </row>
    <row r="18" hidden="1" ht="16.25" customHeight="1" thickBot="1">
      <c r="B18" s="338" t="n"/>
      <c r="C18" s="331" t="n"/>
      <c r="D18" s="339" t="n"/>
      <c r="E18" s="57" t="n"/>
      <c r="F18" s="58" t="n"/>
      <c r="G18" s="57" t="n"/>
      <c r="H18" s="58" t="n"/>
      <c r="I18" s="58" t="n"/>
      <c r="J18" s="59" t="n"/>
      <c r="S18" s="1" t="inlineStr">
        <is>
          <t>Venezuela</t>
        </is>
      </c>
    </row>
    <row r="19" ht="18.5" customHeight="1" thickBot="1">
      <c r="B19" s="340" t="inlineStr">
        <is>
          <t>Comments (Optional)</t>
        </is>
      </c>
      <c r="C19" s="328" t="n"/>
      <c r="D19" s="328" t="n"/>
      <c r="E19" s="328" t="n"/>
      <c r="F19" s="328" t="n"/>
      <c r="G19" s="328" t="n"/>
      <c r="H19" s="328" t="n"/>
      <c r="I19" s="328" t="n"/>
      <c r="J19" s="329" t="n"/>
      <c r="S19" s="1" t="inlineStr">
        <is>
          <t>Paraguai</t>
        </is>
      </c>
    </row>
    <row r="20">
      <c r="B20" s="341" t="n"/>
      <c r="C20" s="342" t="n"/>
      <c r="D20" s="342" t="n"/>
      <c r="E20" s="342" t="n"/>
      <c r="F20" s="342" t="n"/>
      <c r="G20" s="342" t="n"/>
      <c r="H20" s="342" t="n"/>
      <c r="I20" s="342" t="n"/>
      <c r="J20" s="343" t="n"/>
      <c r="S20" s="1" t="inlineStr">
        <is>
          <t>El Salvador</t>
        </is>
      </c>
    </row>
    <row r="21" ht="16" customHeight="1" thickBot="1">
      <c r="B21" s="344" t="n"/>
      <c r="C21" s="345" t="n"/>
      <c r="D21" s="345" t="n"/>
      <c r="E21" s="345" t="n"/>
      <c r="F21" s="345" t="n"/>
      <c r="G21" s="345" t="n"/>
      <c r="H21" s="345" t="n"/>
      <c r="I21" s="345" t="n"/>
      <c r="J21" s="346" t="n"/>
      <c r="S21" s="1" t="inlineStr">
        <is>
          <t>Uruguai</t>
        </is>
      </c>
    </row>
    <row r="22" ht="23.25" customHeight="1" thickBot="1">
      <c r="B22" s="347" t="inlineStr">
        <is>
          <t>BID SUMMARY - Answer questions below in english (mark N/A if it does not apply)</t>
        </is>
      </c>
      <c r="C22" s="324" t="n"/>
      <c r="D22" s="324" t="n"/>
      <c r="E22" s="324" t="n"/>
      <c r="F22" s="324" t="n"/>
      <c r="G22" s="324" t="n"/>
      <c r="H22" s="324" t="n"/>
      <c r="I22" s="324" t="n"/>
      <c r="J22" s="325" t="n"/>
      <c r="S22" s="1" t="inlineStr">
        <is>
          <t>Venezuela</t>
        </is>
      </c>
    </row>
    <row r="23" ht="26" customHeight="1" thickBot="1">
      <c r="A23" s="23" t="n"/>
      <c r="B23" s="192" t="inlineStr">
        <is>
          <t>GOE Questions</t>
        </is>
      </c>
      <c r="C23" s="324" t="n"/>
      <c r="D23" s="324" t="n"/>
      <c r="E23" s="324" t="n"/>
      <c r="F23" s="324" t="n"/>
      <c r="G23" s="324" t="n"/>
      <c r="H23" s="324" t="n"/>
      <c r="I23" s="27" t="n"/>
      <c r="J23" s="28" t="inlineStr">
        <is>
          <t>QUESTIONS</t>
        </is>
      </c>
    </row>
    <row r="24" ht="56" customHeight="1" thickBot="1">
      <c r="A24" s="24" t="n"/>
      <c r="B24" s="348" t="inlineStr">
        <is>
          <t xml:space="preserve">Is this a sole source procurement? Is this a new bid (not amendment/renewal/umbrella agreement) where customer invited only one partner and no competition (may be called Direct Award or Closed Invitation)? If yes, read additional info and instructions.   </t>
        </is>
      </c>
      <c r="C24" s="288" t="n"/>
      <c r="D24" s="288" t="n"/>
      <c r="E24" s="288" t="n"/>
      <c r="F24" s="288" t="n"/>
      <c r="G24" s="289" t="n"/>
      <c r="H24" s="349" t="inlineStr">
        <is>
          <t>No</t>
        </is>
      </c>
      <c r="I24" s="30" t="n"/>
      <c r="J24" s="31" t="inlineStr">
        <is>
          <t>Does this quote have Non-standard T&amp;Cs that require a signed addendum? If Yes, provide a signed addendum when submitting the Order.</t>
        </is>
      </c>
    </row>
    <row r="25" ht="49.25" customHeight="1" thickBot="1">
      <c r="A25" s="24" t="n"/>
      <c r="B25" s="350">
        <f>IF(H24="no","",IF(H24="yes","If yes (no competitive bid), provide the reason and describe the Request for Proposal or Quote, or any other information in the Justification space below. If available, attach the RFP/RFQ. This input helps ensure that public procurement laws are followed.", ""))</f>
        <v/>
      </c>
      <c r="C25" s="295" t="n"/>
      <c r="D25" s="295" t="n"/>
      <c r="E25" s="295" t="n"/>
      <c r="F25" s="295" t="n"/>
      <c r="G25" s="296" t="n"/>
      <c r="H25" s="351" t="n"/>
      <c r="I25" s="30" t="n"/>
      <c r="J25" s="29" t="inlineStr">
        <is>
          <t>No</t>
        </is>
      </c>
    </row>
    <row r="26" ht="55.5" customHeight="1" thickBot="1">
      <c r="A26" s="24" t="n"/>
      <c r="B26" s="348" t="inlineStr">
        <is>
          <t>Is the Customer-Facing Partner (CFP) located in a different country than the customer or will the customer make payment to the CFP in a different country than the customer? If answer is yes, please read additional information and instructions.</t>
        </is>
      </c>
      <c r="C26" s="288" t="n"/>
      <c r="D26" s="288" t="n"/>
      <c r="E26" s="288" t="n"/>
      <c r="F26" s="288" t="n"/>
      <c r="G26" s="289" t="n"/>
      <c r="H26" s="349" t="inlineStr">
        <is>
          <t>No</t>
        </is>
      </c>
      <c r="I26" s="30" t="n"/>
      <c r="J26" s="31" t="inlineStr">
        <is>
          <t xml:space="preserve"> Is this quote a result of a Compliance settlement?</t>
        </is>
      </c>
    </row>
    <row r="27" ht="48.5" customHeight="1" thickBot="1">
      <c r="A27" s="24" t="n"/>
      <c r="B27" s="352">
        <f>IF(H26="no","",IF(H26="yes","If yes to either, provide the reason in the Justification space below.", ""))</f>
        <v/>
      </c>
      <c r="C27" s="295" t="n"/>
      <c r="D27" s="295" t="n"/>
      <c r="E27" s="295" t="n"/>
      <c r="F27" s="295" t="n"/>
      <c r="G27" s="296" t="n"/>
      <c r="H27" s="351" t="n"/>
      <c r="I27" s="30" t="n"/>
      <c r="J27" s="29" t="inlineStr">
        <is>
          <t>No</t>
        </is>
      </c>
    </row>
    <row r="28" ht="56" customHeight="1" thickBot="1">
      <c r="A28" s="24" t="n"/>
      <c r="B28" s="353" t="inlineStr">
        <is>
          <t xml:space="preserve">Is there a Confidentiality obligation or Non-Disclosure Agreement or other reason that any party in the Route-to-market will object to IBM auditing the transaction? If answer is yes, please read additional information and instructions.  </t>
        </is>
      </c>
      <c r="C28" s="288" t="n"/>
      <c r="D28" s="288" t="n"/>
      <c r="E28" s="288" t="n"/>
      <c r="F28" s="288" t="n"/>
      <c r="G28" s="289" t="n"/>
      <c r="H28" s="349" t="inlineStr">
        <is>
          <t>No</t>
        </is>
      </c>
      <c r="I28" s="30" t="n"/>
      <c r="J28" s="32" t="inlineStr">
        <is>
          <t>Is this a Renewal or Reinstatement quote?</t>
        </is>
      </c>
    </row>
    <row r="29" ht="50" customHeight="1" thickBot="1">
      <c r="A29" s="24" t="n"/>
      <c r="B29" s="354">
        <f>IF(H28="no","",IF(H28="yes","If yes, identify the party that has the objection and the reason in the Justification space below.", ""))</f>
        <v/>
      </c>
      <c r="C29" s="295" t="n"/>
      <c r="D29" s="295" t="n"/>
      <c r="E29" s="295" t="n"/>
      <c r="F29" s="295" t="n"/>
      <c r="G29" s="296" t="n"/>
      <c r="H29" s="351" t="n"/>
      <c r="I29" s="30" t="n"/>
      <c r="J29" s="29" t="inlineStr">
        <is>
          <t>No</t>
        </is>
      </c>
    </row>
    <row r="30" ht="58.5" customHeight="1" thickBot="1">
      <c r="A30" s="24" t="n"/>
      <c r="B30" s="353" t="inlineStr">
        <is>
          <t xml:space="preserve">Will any party in the Route-to-market receive or pay a lead passing or marketing fee, referral or finder fee, or any type of contingency fee in connection with this transaction? If answer is yes, please read additional information and instructions. </t>
        </is>
      </c>
      <c r="C30" s="288" t="n"/>
      <c r="D30" s="288" t="n"/>
      <c r="E30" s="288" t="n"/>
      <c r="F30" s="288" t="n"/>
      <c r="G30" s="289" t="n"/>
      <c r="H30" s="349" t="inlineStr">
        <is>
          <t>No</t>
        </is>
      </c>
      <c r="I30" s="30" t="n"/>
      <c r="J30" s="32" t="inlineStr">
        <is>
          <t>Is this a renewal - extension for a SaaS -or- Subscription license (SL)?</t>
        </is>
      </c>
    </row>
    <row r="31" ht="49.5" customHeight="1" thickBot="1">
      <c r="A31" s="24" t="n"/>
      <c r="B31" s="354">
        <f>IF(H30="no","",IF(H30="yes","If yes identify who will make the payment and the reason in the Justification space below.", ""))</f>
        <v/>
      </c>
      <c r="C31" s="295" t="n"/>
      <c r="D31" s="295" t="n"/>
      <c r="E31" s="295" t="n"/>
      <c r="F31" s="295" t="n"/>
      <c r="G31" s="296" t="n"/>
      <c r="H31" s="351" t="n"/>
      <c r="I31" s="30" t="n"/>
      <c r="J31" s="29" t="inlineStr">
        <is>
          <t>No</t>
        </is>
      </c>
    </row>
    <row r="32" ht="55.5" customHeight="1" thickBot="1">
      <c r="A32" s="24" t="n"/>
      <c r="B32" s="353" t="inlineStr">
        <is>
          <t>If this transaction is selected for review, select yes if you prefer to provide customer order documentation before the order is fulfilled. Select No if you prefer to provide the customer order documentation after the order is fulfilled.</t>
        </is>
      </c>
      <c r="C32" s="288" t="n"/>
      <c r="D32" s="288" t="n"/>
      <c r="E32" s="288" t="n"/>
      <c r="F32" s="288" t="n"/>
      <c r="G32" s="289" t="n"/>
      <c r="H32" s="349" t="inlineStr">
        <is>
          <t>No</t>
        </is>
      </c>
      <c r="I32" s="30" t="n"/>
      <c r="J32" s="32" t="inlineStr">
        <is>
          <t>Is this a quote where support will go through a Primary Support Provider, a Support Providing Partner, or an Engagement Support Provider?</t>
        </is>
      </c>
    </row>
    <row r="33" ht="50.75" customHeight="1" thickBot="1">
      <c r="A33" s="24" t="n"/>
      <c r="B33" s="355" t="n"/>
      <c r="C33" s="295" t="n"/>
      <c r="D33" s="295" t="n"/>
      <c r="E33" s="295" t="n"/>
      <c r="F33" s="295" t="n"/>
      <c r="G33" s="296" t="n"/>
      <c r="H33" s="351" t="n"/>
      <c r="I33" s="30" t="n"/>
      <c r="J33" s="29" t="inlineStr">
        <is>
          <t>No</t>
        </is>
      </c>
    </row>
    <row r="34" ht="57.5" customHeight="1" thickBot="1">
      <c r="A34" s="24" t="n"/>
      <c r="B34" s="353" t="inlineStr">
        <is>
          <t xml:space="preserve">Will the Route-to-market (RTM) be different than "Distributor to Customer-Facing Partner to customer" or include any party who is not authorized to sell requested products? If answer is yes, please read additional information and instructions. </t>
        </is>
      </c>
      <c r="C34" s="288" t="n"/>
      <c r="D34" s="288" t="n"/>
      <c r="E34" s="288" t="n"/>
      <c r="F34" s="288" t="n"/>
      <c r="G34" s="289" t="n"/>
      <c r="H34" s="349" t="inlineStr">
        <is>
          <t>No</t>
        </is>
      </c>
      <c r="I34" s="30" t="n"/>
      <c r="J34" s="31" t="inlineStr">
        <is>
          <t>Customer Situation/Requirements (highlight also if there is prior bid offering for same price/products to the customer)?</t>
        </is>
      </c>
    </row>
    <row r="35" ht="58.5" customHeight="1" thickBot="1">
      <c r="A35" s="24" t="n"/>
      <c r="B35" s="356">
        <f>IF(H34="no","",IF(H34="yes","If yes describe the full RTM, including entity names. Provide detailed explanations for any additional tiers, including their role or value add. Please provide in the Justification space below.", ""))</f>
        <v/>
      </c>
      <c r="C35" s="295" t="n"/>
      <c r="D35" s="295" t="n"/>
      <c r="E35" s="295" t="n"/>
      <c r="F35" s="295" t="n"/>
      <c r="G35" s="296" t="n"/>
      <c r="H35" s="351" t="n"/>
      <c r="I35" s="30" t="n"/>
      <c r="J35" s="33" t="inlineStr">
        <is>
          <t>No</t>
        </is>
      </c>
      <c r="L35" s="136" t="n"/>
    </row>
    <row r="36" ht="63.5" customHeight="1" thickBot="1">
      <c r="A36" s="24" t="n"/>
      <c r="B36" s="237">
        <f>IF(OR(H24="Yes",H26="Yes",H28="Yes",H30="Yes",H32="Yes",H34="Yes"), "GOE Justification","")</f>
        <v/>
      </c>
      <c r="I36" s="30" t="n"/>
      <c r="J36" s="31" t="inlineStr">
        <is>
          <t>Discount and T&amp;C's Justification?</t>
        </is>
      </c>
    </row>
    <row r="37" ht="56" customHeight="1" thickBot="1">
      <c r="A37" s="137" t="n"/>
      <c r="B37" s="357" t="n"/>
      <c r="C37" s="288" t="n"/>
      <c r="D37" s="288" t="n"/>
      <c r="E37" s="288" t="n"/>
      <c r="F37" s="288" t="n"/>
      <c r="G37" s="288" t="n"/>
      <c r="H37" s="289" t="n"/>
      <c r="I37" s="30" t="n"/>
      <c r="J37" s="29" t="inlineStr">
        <is>
          <t>No</t>
        </is>
      </c>
    </row>
    <row r="38" ht="41.75" customHeight="1" thickBot="1">
      <c r="A38" s="137" t="n"/>
      <c r="B38" s="358" t="n"/>
      <c r="H38" s="291" t="n"/>
      <c r="I38" s="30" t="n"/>
      <c r="J38" s="32" t="inlineStr">
        <is>
          <t>Competition position?</t>
        </is>
      </c>
    </row>
    <row r="39" ht="54.5" customHeight="1" thickBot="1">
      <c r="A39" s="24" t="n"/>
      <c r="B39" s="358" t="n"/>
      <c r="H39" s="291" t="n"/>
      <c r="I39" s="30" t="n"/>
      <c r="J39" s="33" t="inlineStr">
        <is>
          <t>No</t>
        </is>
      </c>
    </row>
    <row r="40" ht="36.5" customHeight="1" thickBot="1">
      <c r="A40" s="24" t="n"/>
      <c r="B40" s="358" t="n"/>
      <c r="H40" s="291" t="n"/>
      <c r="I40" s="30" t="n"/>
      <c r="J40" s="32" t="inlineStr">
        <is>
          <t>IBM Business Risk if bid is not agreed?</t>
        </is>
      </c>
    </row>
    <row r="41" ht="57" customHeight="1" thickBot="1">
      <c r="A41" s="24" t="n"/>
      <c r="B41" s="358" t="n"/>
      <c r="H41" s="291" t="n"/>
      <c r="I41" s="30" t="n"/>
      <c r="J41" s="29" t="inlineStr">
        <is>
          <t>No</t>
        </is>
      </c>
    </row>
    <row r="42" ht="62" customHeight="1" thickBot="1">
      <c r="A42" s="24" t="n"/>
      <c r="B42" s="359" t="n"/>
      <c r="C42" s="295" t="n"/>
      <c r="D42" s="295" t="n"/>
      <c r="E42" s="295" t="n"/>
      <c r="F42" s="295" t="n"/>
      <c r="G42" s="295" t="n"/>
      <c r="H42" s="296" t="n"/>
      <c r="I42" s="30" t="n"/>
      <c r="J42" s="34" t="inlineStr">
        <is>
          <t>Deal Supporters?</t>
        </is>
      </c>
    </row>
    <row r="43" ht="54" customHeight="1" thickBot="1">
      <c r="A43" s="24" t="n"/>
      <c r="B43" s="36" t="n"/>
      <c r="C43" s="35" t="n"/>
      <c r="D43" s="35" t="n"/>
      <c r="E43" s="35" t="n"/>
      <c r="F43" s="35" t="n"/>
      <c r="G43" s="30" t="n"/>
      <c r="H43" s="37" t="n"/>
      <c r="I43" s="30" t="n"/>
      <c r="J43" s="29" t="inlineStr">
        <is>
          <t>No</t>
        </is>
      </c>
    </row>
    <row r="44" ht="19.25" customHeight="1" thickBot="1">
      <c r="A44" s="24" t="n"/>
      <c r="B44" s="38" t="n"/>
      <c r="C44" s="39" t="n"/>
      <c r="D44" s="39" t="n"/>
      <c r="E44" s="39" t="n"/>
      <c r="F44" s="39" t="n"/>
      <c r="G44" s="40" t="n"/>
      <c r="H44" s="41" t="n"/>
      <c r="I44" s="39" t="n"/>
      <c r="J44" s="42" t="n"/>
    </row>
    <row r="45" ht="19.5" customHeight="1">
      <c r="A45" s="24" t="n"/>
    </row>
    <row r="46" ht="16.5" customHeight="1">
      <c r="A46" s="25" t="n"/>
    </row>
    <row r="47">
      <c r="A47" s="25" t="n"/>
    </row>
    <row r="48">
      <c r="A48" s="25" t="n"/>
    </row>
    <row r="49" ht="16.5" customHeight="1">
      <c r="A49" s="24" t="n"/>
    </row>
    <row r="50" ht="33.75" customHeight="1">
      <c r="A50" s="24" t="n"/>
    </row>
    <row r="51">
      <c r="A51" s="24" t="n"/>
    </row>
    <row r="52">
      <c r="A52" s="25" t="n"/>
    </row>
  </sheetData>
  <mergeCells count="45">
    <mergeCell ref="H26:H27"/>
    <mergeCell ref="B11:J11"/>
    <mergeCell ref="I6:J6"/>
    <mergeCell ref="B20:J21"/>
    <mergeCell ref="E13:J13"/>
    <mergeCell ref="B14:J14"/>
    <mergeCell ref="B13:D13"/>
    <mergeCell ref="E7:H7"/>
    <mergeCell ref="B29:G29"/>
    <mergeCell ref="H34:H35"/>
    <mergeCell ref="B10:D10"/>
    <mergeCell ref="B36:H36"/>
    <mergeCell ref="B34:G34"/>
    <mergeCell ref="B19:J19"/>
    <mergeCell ref="B28:G28"/>
    <mergeCell ref="I7:J7"/>
    <mergeCell ref="B9:D9"/>
    <mergeCell ref="B30:G30"/>
    <mergeCell ref="B6:D6"/>
    <mergeCell ref="B33:G33"/>
    <mergeCell ref="B24:G24"/>
    <mergeCell ref="B5:J5"/>
    <mergeCell ref="B37:H42"/>
    <mergeCell ref="H32:H33"/>
    <mergeCell ref="B32:G32"/>
    <mergeCell ref="B35:G35"/>
    <mergeCell ref="H28:H29"/>
    <mergeCell ref="B26:G26"/>
    <mergeCell ref="B4:J4"/>
    <mergeCell ref="E12:J12"/>
    <mergeCell ref="B7:D7"/>
    <mergeCell ref="E10:H10"/>
    <mergeCell ref="H24:H25"/>
    <mergeCell ref="B25:G25"/>
    <mergeCell ref="B23:H23"/>
    <mergeCell ref="E9:H9"/>
    <mergeCell ref="H30:H31"/>
    <mergeCell ref="I10:J10"/>
    <mergeCell ref="B22:J22"/>
    <mergeCell ref="B31:G31"/>
    <mergeCell ref="B27:G27"/>
    <mergeCell ref="E6:H6"/>
    <mergeCell ref="B18:D18"/>
    <mergeCell ref="B12:D12"/>
    <mergeCell ref="I9:J9"/>
  </mergeCells>
  <conditionalFormatting sqref="B10">
    <cfRule type="expression" priority="3" dxfId="0" stopIfTrue="1">
      <formula>($B$10="")</formula>
    </cfRule>
  </conditionalFormatting>
  <conditionalFormatting sqref="B13">
    <cfRule type="expression" priority="7" dxfId="0" stopIfTrue="1">
      <formula>($B$13="")</formula>
    </cfRule>
  </conditionalFormatting>
  <conditionalFormatting sqref="B7:D7">
    <cfRule type="expression" priority="13" dxfId="0" stopIfTrue="1">
      <formula>($B$7="")</formula>
    </cfRule>
  </conditionalFormatting>
  <conditionalFormatting sqref="B37:H42">
    <cfRule type="expression" priority="5" dxfId="6" stopIfTrue="1">
      <formula>$B$36="Goe Justification"</formula>
    </cfRule>
    <cfRule type="expression" priority="6" dxfId="5" stopIfTrue="1">
      <formula>$B$36=""</formula>
    </cfRule>
  </conditionalFormatting>
  <conditionalFormatting sqref="B5:J5">
    <cfRule type="expression" priority="14" dxfId="0" stopIfTrue="1">
      <formula>($B$5="")</formula>
    </cfRule>
  </conditionalFormatting>
  <conditionalFormatting sqref="E7">
    <cfRule type="expression" priority="4" dxfId="0" stopIfTrue="1">
      <formula>($E$7="")</formula>
    </cfRule>
  </conditionalFormatting>
  <conditionalFormatting sqref="E10">
    <cfRule type="expression" priority="2" dxfId="0" stopIfTrue="1">
      <formula>($E$10="")</formula>
    </cfRule>
  </conditionalFormatting>
  <conditionalFormatting sqref="E13:J13">
    <cfRule type="expression" priority="15" dxfId="1" stopIfTrue="1">
      <formula>($B$13="RTD Available")</formula>
    </cfRule>
  </conditionalFormatting>
  <conditionalFormatting sqref="I10">
    <cfRule type="expression" priority="1" dxfId="0" stopIfTrue="1">
      <formula>($I$10="")</formula>
    </cfRule>
  </conditionalFormatting>
  <dataValidations count="7">
    <dataValidation sqref="I7:J7" showDropDown="0" showInputMessage="1" showErrorMessage="1" allowBlank="0" error="Please review if Passport Agreement Number is correct" type="whole" errorStyle="warning" operator="greaterThan">
      <formula1>0</formula1>
    </dataValidation>
    <dataValidation sqref="E7 I10:J10" showDropDown="0" showInputMessage="1" showErrorMessage="1" allowBlank="1" error="Please review if Site Number is correct" type="whole" errorStyle="warning" operator="greaterThan">
      <formula1>0</formula1>
    </dataValidation>
    <dataValidation sqref="H24 H26 H28 H30 H32 H34" showDropDown="0" showInputMessage="1" showErrorMessage="1" allowBlank="0" prompt="Select Yes/No" type="list">
      <formula1>$T$2:$T$3</formula1>
    </dataValidation>
    <dataValidation sqref="J25 J27 J29 J31 J33" showDropDown="0" showInputMessage="1" showErrorMessage="1" allowBlank="1" prompt="Select Yes/No" type="list">
      <formula1>$T$2:$T$3</formula1>
    </dataValidation>
    <dataValidation sqref="B13:D13" showDropDown="0" showInputMessage="1" showErrorMessage="1" allowBlank="1" prompt="Select Value" type="list">
      <formula1>$U$2:$U$3</formula1>
    </dataValidation>
    <dataValidation sqref="B5:J5" showDropDown="0" showInputMessage="1" showErrorMessage="1" allowBlank="1" prompt="Select Value" type="list">
      <formula1>"Argentina,Bolívia,Belize,Chile,Colombia,Costa Rica,República Dominicana,Ecuador,Guatemala,Honduras,Mexico,Panama,Peru,Paraguai,El Salvador,Uruguai,Venezuela,Nicaragua"</formula1>
    </dataValidation>
    <dataValidation sqref="E13:J13" showDropDown="0" showInputMessage="1" showErrorMessage="1" allowBlank="1" error="Please review if RTD Number is correct" type="whole" errorStyle="warning" operator="greaterThan">
      <formula1>0</formula1>
    </dataValidation>
  </dataValidations>
  <pageMargins left="0.5" right="0.5833333333333334" top="0.5" bottom="0.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Riquelme, Marcelo</dc:creator>
  <dcterms:created xsi:type="dcterms:W3CDTF">2011-10-27T19:07:15Z</dcterms:created>
  <dcterms:modified xsi:type="dcterms:W3CDTF">2026-04-20T22:41:59Z</dcterms:modified>
  <cp:lastModifiedBy>Pabon, Silvia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0x010100507B2A44C3ABB1488E24B51AAEB1352B</vt:lpwstr>
  </property>
  <property name="MediaServiceImageTags" fmtid="{D5CDD505-2E9C-101B-9397-08002B2CF9AE}" pid="3">
    <vt:lpwstr/>
  </property>
</Properties>
</file>