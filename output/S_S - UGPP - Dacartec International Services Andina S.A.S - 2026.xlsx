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lculadora" sheetId="2" state="visible" r:id="rId2"/>
    <sheet name="Cotización" sheetId="3" state="visible" r:id="rId3"/>
    <sheet name="Comp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166534"/>
      <sz val="8"/>
    </font>
    <font>
      <name val="Arial"/>
      <color rgb="001A2B3C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66534"/>
      <sz val="9"/>
    </font>
    <font>
      <name val="Arial"/>
      <b val="1"/>
      <color rgb="000066CC"/>
      <sz val="8"/>
    </font>
    <font>
      <name val="Arial"/>
      <b val="1"/>
      <color rgb="0064748B"/>
      <sz val="8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8F5E9"/>
      </patternFill>
    </fill>
    <fill>
      <patternFill patternType="solid">
        <fgColor rgb="00EB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1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10" fontId="9" fillId="8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166" fontId="11" fillId="9" borderId="0" applyAlignment="1" pivotButton="0" quotePrefix="0" xfId="0">
      <alignment horizontal="left" vertical="center"/>
    </xf>
    <xf numFmtId="10" fontId="10" fillId="9" borderId="0" applyAlignment="1" pivotButton="0" quotePrefix="0" xfId="0">
      <alignment horizontal="left" vertical="center"/>
    </xf>
    <xf numFmtId="10" fontId="11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indent="1"/>
    </xf>
    <xf numFmtId="165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6" fontId="9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8" customWidth="1" min="4" max="4"/>
    <col width="3" customWidth="1" min="5" max="5"/>
    <col width="18" customWidth="1" min="6" max="6"/>
    <col width="18" customWidth="1" min="7" max="7"/>
    <col width="3" customWidth="1" min="8" max="8"/>
    <col width="18" customWidth="1" min="9" max="9"/>
    <col width="14" customWidth="1" min="10" max="10"/>
  </cols>
  <sheetData>
    <row r="1" ht="26" customHeight="1">
      <c r="A1" s="1" t="inlineStr">
        <is>
          <t>INGRAM MICRO — IBM S&amp;S Renewals · Hoja de Información</t>
        </is>
      </c>
    </row>
    <row r="2" ht="14" customHeight="1">
      <c r="A2" s="2" t="inlineStr">
        <is>
          <t>Quote: 0027451873  ·  Generado: 20/04/2026 17:41</t>
        </is>
      </c>
    </row>
    <row r="3" ht="18" customHeight="1">
      <c r="A3" s="3" t="inlineStr">
        <is>
          <t xml:space="preserve">  CANAL</t>
        </is>
      </c>
    </row>
    <row r="4" ht="16" customHeight="1">
      <c r="C4" s="4" t="inlineStr">
        <is>
          <t>CANAL</t>
        </is>
      </c>
      <c r="D4" s="5" t="inlineStr">
        <is>
          <t>Dacartec International Services Andina S.A.S</t>
        </is>
      </c>
      <c r="F4" s="4" t="inlineStr">
        <is>
          <t>ICN</t>
        </is>
      </c>
      <c r="G4" s="5" t="inlineStr">
        <is>
          <t>945809</t>
        </is>
      </c>
      <c r="I4" s="4" t="inlineStr">
        <is>
          <t>SBID/QUOTE</t>
        </is>
      </c>
      <c r="J4" s="6" t="inlineStr">
        <is>
          <t>0027451873</t>
        </is>
      </c>
    </row>
    <row r="5" ht="16" customHeight="1">
      <c r="C5" s="4" t="inlineStr">
        <is>
          <t>CLIENTE</t>
        </is>
      </c>
      <c r="D5" s="5" t="inlineStr">
        <is>
          <t>UGPP</t>
        </is>
      </c>
      <c r="F5" s="4" t="inlineStr">
        <is>
          <t>SITE</t>
        </is>
      </c>
      <c r="G5" s="5" t="inlineStr">
        <is>
          <t>0003431076-UGPP, Avenida Calle 26 #69 B-45 Piso 2, COL</t>
        </is>
      </c>
    </row>
    <row r="6" ht="16" customHeight="1">
      <c r="C6" s="4" t="inlineStr">
        <is>
          <t>CÓDIGO CANAL</t>
        </is>
      </c>
      <c r="D6" s="5" t="inlineStr">
        <is>
          <t>0003071556</t>
        </is>
      </c>
      <c r="F6" s="4" t="inlineStr">
        <is>
          <t>Select Territory</t>
        </is>
      </c>
      <c r="G6" s="5" t="inlineStr">
        <is>
          <t>Yes</t>
        </is>
      </c>
    </row>
    <row r="8" ht="18" customHeight="1">
      <c r="A8" s="3" t="inlineStr">
        <is>
          <t xml:space="preserve">  CLASIFICACIÓN</t>
        </is>
      </c>
    </row>
    <row r="9" ht="16" customHeight="1">
      <c r="C9" s="4" t="inlineStr">
        <is>
          <t>Cliente</t>
        </is>
      </c>
      <c r="D9" s="5" t="inlineStr">
        <is>
          <t>UGPP</t>
        </is>
      </c>
      <c r="F9" s="7" t="inlineStr">
        <is>
          <t>Incentivos</t>
        </is>
      </c>
      <c r="I9" s="7" t="inlineStr">
        <is>
          <t>Margen Cadena</t>
        </is>
      </c>
      <c r="J9" s="8">
        <f>J10+J11</f>
        <v/>
      </c>
    </row>
    <row r="10" ht="16" customHeight="1">
      <c r="C10" s="4" t="inlineStr">
        <is>
          <t>Banda</t>
        </is>
      </c>
      <c r="D10" s="5" t="inlineStr">
        <is>
          <t>BL</t>
        </is>
      </c>
      <c r="F10" s="7" t="inlineStr">
        <is>
          <t>BP</t>
        </is>
      </c>
      <c r="G10" s="7" t="inlineStr">
        <is>
          <t>INGRAM</t>
        </is>
      </c>
      <c r="I10" s="9" t="inlineStr">
        <is>
          <t>Margen Canal</t>
        </is>
      </c>
      <c r="J10" s="10" t="n">
        <v>0.03</v>
      </c>
    </row>
    <row r="11" ht="16" customHeight="1">
      <c r="C11" s="4" t="inlineStr">
        <is>
          <t>Gobierno</t>
        </is>
      </c>
      <c r="D11" s="5" t="inlineStr">
        <is>
          <t>No</t>
        </is>
      </c>
      <c r="F11" s="9" t="inlineStr">
        <is>
          <t>CVR Renew</t>
        </is>
      </c>
      <c r="I11" s="9" t="inlineStr">
        <is>
          <t>Margen Ingram</t>
        </is>
      </c>
      <c r="J11" s="10" t="n">
        <v>0.021</v>
      </c>
    </row>
    <row r="12" ht="16" customHeight="1">
      <c r="C12" s="4" t="inlineStr">
        <is>
          <t>Categoría</t>
        </is>
      </c>
      <c r="D12" s="5" t="inlineStr">
        <is>
          <t>S&amp;S</t>
        </is>
      </c>
      <c r="F12" s="10" t="n">
        <v>0.02</v>
      </c>
      <c r="G12" s="10" t="n">
        <v>0.02</v>
      </c>
    </row>
    <row r="13" ht="16" customHeight="1">
      <c r="C13" s="4" t="inlineStr">
        <is>
          <t>Cliente</t>
        </is>
      </c>
      <c r="D13" s="5" t="inlineStr">
        <is>
          <t>Co-Led</t>
        </is>
      </c>
      <c r="F13" s="9" t="inlineStr">
        <is>
          <t>CVR OnTime</t>
        </is>
      </c>
    </row>
    <row r="14" ht="16" customHeight="1">
      <c r="F14" s="10" t="n">
        <v>0.02</v>
      </c>
      <c r="G14" s="10" t="n">
        <v>0.01</v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6" customWidth="1" min="8" max="8"/>
    <col width="32" customWidth="1" min="9" max="9"/>
    <col width="12" customWidth="1" min="10" max="10"/>
    <col width="12" customWidth="1" min="11" max="11"/>
    <col width="8" customWidth="1" min="12" max="12"/>
    <col width="12" customWidth="1" min="13" max="13"/>
    <col width="8" customWidth="1" min="14" max="14"/>
    <col width="14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0" customWidth="1" min="22" max="22"/>
    <col width="8" customWidth="1" min="23" max="23"/>
    <col width="14" customWidth="1" min="24" max="24"/>
    <col width="3" customWidth="1" min="25" max="25"/>
    <col width="12" customWidth="1" min="26" max="26"/>
    <col width="12" customWidth="1" min="27" max="27"/>
    <col width="8" customWidth="1" min="28" max="28"/>
    <col width="12" customWidth="1" min="29" max="29"/>
    <col width="10" customWidth="1" min="30" max="30"/>
    <col width="10" customWidth="1" min="31" max="31"/>
    <col width="14" customWidth="1" min="32" max="32"/>
    <col width="14" customWidth="1" min="33" max="33"/>
    <col width="14" customWidth="1" min="34" max="34"/>
    <col width="3" customWidth="1" min="35" max="35"/>
    <col width="14" customWidth="1" min="36" max="36"/>
    <col width="14" customWidth="1" min="37" max="37"/>
    <col width="12" customWidth="1" min="38" max="38"/>
    <col width="12" customWidth="1" min="39" max="39"/>
    <col width="3" customWidth="1" min="40" max="40"/>
    <col width="3" customWidth="1" min="41" max="41"/>
    <col width="8" customWidth="1" min="42" max="42"/>
  </cols>
  <sheetData>
    <row r="1" ht="24" customHeight="1">
      <c r="A1" s="1" t="inlineStr">
        <is>
          <t>CALCULADORA — IBM S&amp;S Renewals · Ingram Micro</t>
        </is>
      </c>
    </row>
    <row r="3" ht="14" customHeight="1">
      <c r="A3" t="inlineStr"/>
      <c r="B3" s="11" t="inlineStr">
        <is>
          <t>INGRAM / BP</t>
        </is>
      </c>
      <c r="F3" s="11" t="inlineStr">
        <is>
          <t>Fechas</t>
        </is>
      </c>
      <c r="H3" s="11" t="inlineStr">
        <is>
          <t>Producto</t>
        </is>
      </c>
      <c r="L3" s="11" t="inlineStr">
        <is>
          <t>Precios IBM</t>
        </is>
      </c>
      <c r="P3" s="11" t="inlineStr">
        <is>
          <t>Cadena de precios</t>
        </is>
      </c>
      <c r="Z3" s="11" t="inlineStr">
        <is>
          <t>Incentivos Total — BP</t>
        </is>
      </c>
      <c r="AJ3" s="11" t="inlineStr">
        <is>
          <t>Después de incentivos</t>
        </is>
      </c>
    </row>
    <row r="4" ht="14" customHeight="1">
      <c r="B4" s="12" t="inlineStr">
        <is>
          <t>On Time</t>
        </is>
      </c>
      <c r="C4" s="12" t="inlineStr">
        <is>
          <t>Renew</t>
        </is>
      </c>
      <c r="D4" s="12" t="inlineStr">
        <is>
          <t>On Time</t>
        </is>
      </c>
      <c r="E4" s="12" t="inlineStr">
        <is>
          <t>Renew</t>
        </is>
      </c>
    </row>
    <row r="5" ht="30" customHeight="1">
      <c r="B5" s="13" t="inlineStr">
        <is>
          <t>On Time</t>
        </is>
      </c>
      <c r="C5" s="13" t="inlineStr">
        <is>
          <t>Renew</t>
        </is>
      </c>
      <c r="D5" s="13" t="inlineStr">
        <is>
          <t>On Time</t>
        </is>
      </c>
      <c r="E5" s="13" t="inlineStr">
        <is>
          <t>Renew</t>
        </is>
      </c>
      <c r="F5" s="13" t="inlineStr">
        <is>
          <t>Fecha de Inicio</t>
        </is>
      </c>
      <c r="G5" s="13" t="inlineStr">
        <is>
          <t>Fecha de Fin</t>
        </is>
      </c>
      <c r="H5" s="13" t="inlineStr">
        <is>
          <t>NP</t>
        </is>
      </c>
      <c r="I5" s="13" t="inlineStr">
        <is>
          <t>Descripción</t>
        </is>
      </c>
      <c r="J5" s="13" t="inlineStr">
        <is>
          <t>Precio Unitario
Banda sin Uplift</t>
        </is>
      </c>
      <c r="K5" s="13" t="inlineStr">
        <is>
          <t>Precio Unitario
Banda con Uplift</t>
        </is>
      </c>
      <c r="L5" s="13" t="inlineStr">
        <is>
          <t>Cantidad</t>
        </is>
      </c>
      <c r="M5" s="13" t="inlineStr">
        <is>
          <t>Precio Banda</t>
        </is>
      </c>
      <c r="N5" s="13" t="inlineStr">
        <is>
          <t>Descuento</t>
        </is>
      </c>
      <c r="O5" s="13" t="inlineStr">
        <is>
          <t>Precio Cliente
Final</t>
        </is>
      </c>
      <c r="P5" s="13" t="inlineStr">
        <is>
          <t>Margen canal</t>
        </is>
      </c>
      <c r="Q5" s="13" t="inlineStr">
        <is>
          <t>V/unit Venta</t>
        </is>
      </c>
      <c r="R5" s="13" t="inlineStr">
        <is>
          <t>Costo Canal</t>
        </is>
      </c>
      <c r="S5" s="13" t="inlineStr">
        <is>
          <t>Costo Ingram Unit</t>
        </is>
      </c>
      <c r="T5" s="13" t="inlineStr">
        <is>
          <t>Precio Compra Ingram</t>
        </is>
      </c>
      <c r="U5" s="13" t="inlineStr">
        <is>
          <t>Costo Ingram</t>
        </is>
      </c>
      <c r="V5" s="13" t="inlineStr">
        <is>
          <t>Margen Ingram TX</t>
        </is>
      </c>
      <c r="W5" s="13" t="inlineStr">
        <is>
          <t>Año</t>
        </is>
      </c>
      <c r="X5" s="13" t="inlineStr">
        <is>
          <t>Precio unitario
cliente final</t>
        </is>
      </c>
      <c r="Z5" s="13" t="inlineStr">
        <is>
          <t>% Incentivos Total</t>
        </is>
      </c>
      <c r="AA5" s="13" t="inlineStr">
        <is>
          <t>Incentivo</t>
        </is>
      </c>
      <c r="AB5" s="13" t="inlineStr">
        <is>
          <t>% BP</t>
        </is>
      </c>
      <c r="AC5" s="13" t="inlineStr">
        <is>
          <t>Total Incentivos</t>
        </is>
      </c>
      <c r="AD5" s="13" t="inlineStr">
        <is>
          <t>On time</t>
        </is>
      </c>
      <c r="AE5" s="13" t="inlineStr">
        <is>
          <t>Renew</t>
        </is>
      </c>
      <c r="AF5" s="13" t="inlineStr">
        <is>
          <t>Incentivo total
Unitario</t>
        </is>
      </c>
      <c r="AG5" s="13" t="inlineStr">
        <is>
          <t>Incentivo BP
Unitario</t>
        </is>
      </c>
      <c r="AH5" s="13" t="inlineStr">
        <is>
          <t>Incentivo Ingram
Unitario</t>
        </is>
      </c>
      <c r="AJ5" s="13" t="inlineStr">
        <is>
          <t>Costo Total BP</t>
        </is>
      </c>
      <c r="AK5" s="13" t="inlineStr">
        <is>
          <t>Costo Ingram Total</t>
        </is>
      </c>
      <c r="AL5" s="13" t="inlineStr">
        <is>
          <t>Margen antes
de incentivos</t>
        </is>
      </c>
      <c r="AM5" s="13" t="inlineStr">
        <is>
          <t>Margen después
de incentivos</t>
        </is>
      </c>
    </row>
    <row r="6" ht="16" customHeight="1">
      <c r="B6" s="14">
        <f>Info!$G$14</f>
        <v/>
      </c>
      <c r="C6" s="14">
        <f>Info!$G$12</f>
        <v/>
      </c>
      <c r="D6" s="14">
        <f>Info!$F$14</f>
        <v/>
      </c>
      <c r="E6" s="14">
        <f>Info!$F$12</f>
        <v/>
      </c>
      <c r="F6" s="15" t="n">
        <v>46204</v>
      </c>
      <c r="G6" s="15" t="n">
        <v>46568</v>
      </c>
      <c r="H6" s="16" t="inlineStr">
        <is>
          <t>E0PMHLL</t>
        </is>
      </c>
      <c r="I6" s="17" t="inlineStr">
        <is>
          <t>DBAMC ENTERPRISE VIRTUAL PROCESSOR CORE ANNUAL SW S&amp;S RNWL</t>
        </is>
      </c>
      <c r="J6" s="18" t="n">
        <v>2686.99</v>
      </c>
      <c r="K6" s="18" t="n">
        <v>2686.99</v>
      </c>
      <c r="L6" s="19" t="n">
        <v>62</v>
      </c>
      <c r="M6" s="20">
        <f>K6*L6</f>
        <v/>
      </c>
      <c r="N6" s="21" t="n">
        <v>0</v>
      </c>
      <c r="O6" s="20">
        <f>M6*(1-N6)</f>
        <v/>
      </c>
      <c r="P6" s="14">
        <f>Info!$J$10</f>
        <v/>
      </c>
      <c r="Q6" s="20">
        <f>R6/L6</f>
        <v/>
      </c>
      <c r="R6" s="20">
        <f>O6*(1-P6)</f>
        <v/>
      </c>
      <c r="S6" s="20">
        <f>U6/L6</f>
        <v/>
      </c>
      <c r="T6" s="20">
        <f>O6*(1-Info!$J$9)</f>
        <v/>
      </c>
      <c r="U6" s="20">
        <f>O6*(1-Info!$J$11)</f>
        <v/>
      </c>
      <c r="V6" s="22">
        <f>IF(R6&lt;&gt;0,1-U6/R6,"")</f>
        <v/>
      </c>
      <c r="W6" s="19" t="inlineStr">
        <is>
          <t>Año 1</t>
        </is>
      </c>
      <c r="X6" s="20">
        <f>O6/L6</f>
        <v/>
      </c>
      <c r="Z6" s="14">
        <f>Info!$F$12+Info!$G$12+Info!$F$14+Info!$G$14</f>
        <v/>
      </c>
      <c r="AA6" s="20">
        <f>Z6*O6</f>
        <v/>
      </c>
      <c r="AB6" s="14">
        <f>D6+E6</f>
        <v/>
      </c>
      <c r="AC6" s="20">
        <f>AB6*O6</f>
        <v/>
      </c>
      <c r="AD6" s="20">
        <f>O6*D6</f>
        <v/>
      </c>
      <c r="AE6" s="20">
        <f>O6*E6</f>
        <v/>
      </c>
      <c r="AF6" s="20">
        <f>IF(L6&lt;&gt;0,AA6/L6,"")</f>
        <v/>
      </c>
      <c r="AG6" s="20">
        <f>IF(L6&lt;&gt;0,AC6/L6,"")</f>
        <v/>
      </c>
      <c r="AH6" s="20">
        <f>IF(L6&lt;&gt;0,(AA6-AC6)/L6,"")</f>
        <v/>
      </c>
      <c r="AJ6" s="20">
        <f>R6-AC6</f>
        <v/>
      </c>
      <c r="AK6" s="20">
        <f>U6-AA6</f>
        <v/>
      </c>
      <c r="AL6" s="22">
        <f>IF(R7&lt;&gt;0,1-(AK7/R7),"")</f>
        <v/>
      </c>
      <c r="AM6" s="22">
        <f>IF(AJ7&lt;&gt;0,1-(AK7/AJ7),"")</f>
        <v/>
      </c>
    </row>
    <row r="7" ht="20" customHeight="1">
      <c r="L7" s="23" t="inlineStr">
        <is>
          <t>Total</t>
        </is>
      </c>
      <c r="O7" s="24">
        <f>SUM(O6:O6)</f>
        <v/>
      </c>
      <c r="R7" s="24">
        <f>SUM(R6:R6)</f>
        <v/>
      </c>
      <c r="T7" s="24">
        <f>SUM(T6:T6)</f>
        <v/>
      </c>
      <c r="U7" s="24">
        <f>SUM(U6:U6)</f>
        <v/>
      </c>
      <c r="V7" s="25">
        <f>IF(R7&lt;&gt;0,1-U7/R7,"")</f>
        <v/>
      </c>
      <c r="AA7" s="24">
        <f>SUM(AA6:AA6)</f>
        <v/>
      </c>
      <c r="AC7" s="24">
        <f>SUM(AC6:AC6)</f>
        <v/>
      </c>
      <c r="AD7" s="24">
        <f>SUM(AD6:AD6)</f>
        <v/>
      </c>
      <c r="AE7" s="24">
        <f>SUM(AE6:AE6)</f>
        <v/>
      </c>
      <c r="AJ7" s="24">
        <f>SUM(AJ6:AJ6)</f>
        <v/>
      </c>
      <c r="AK7" s="24">
        <f>SUM(AK6:AK6)</f>
        <v/>
      </c>
    </row>
    <row r="8" ht="16" customHeight="1">
      <c r="L8" s="9" t="inlineStr">
        <is>
          <t>Nota de descuento</t>
        </is>
      </c>
      <c r="O8" s="26">
        <f>AC7</f>
        <v/>
      </c>
    </row>
  </sheetData>
  <mergeCells count="9">
    <mergeCell ref="F3:G3"/>
    <mergeCell ref="A1:AM1"/>
    <mergeCell ref="H3:K3"/>
    <mergeCell ref="L3:O3"/>
    <mergeCell ref="A3:A4"/>
    <mergeCell ref="AJ3:AM3"/>
    <mergeCell ref="P3:V3"/>
    <mergeCell ref="B3:E3"/>
    <mergeCell ref="Z3:A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0" customWidth="1" min="4" max="4"/>
    <col width="10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</cols>
  <sheetData>
    <row r="1" ht="28" customHeight="1">
      <c r="A1" s="27" t="inlineStr">
        <is>
          <t>INGRAM MICRO Colombia  ·  IBM Authorized Reseller</t>
        </is>
      </c>
    </row>
    <row r="2" ht="22" customHeight="1">
      <c r="A2" s="28" t="inlineStr">
        <is>
          <t>IBM Software Subscription &amp; Support (S&amp;S) — Cotización al Canal</t>
        </is>
      </c>
    </row>
    <row r="3" ht="16" customHeight="1">
      <c r="B3" s="4" t="inlineStr">
        <is>
          <t>Canal:</t>
        </is>
      </c>
      <c r="C3" s="29">
        <f>Info!D4</f>
        <v/>
      </c>
    </row>
    <row r="4" ht="16" customHeight="1">
      <c r="B4" s="4" t="inlineStr">
        <is>
          <t>Cliente Final:</t>
        </is>
      </c>
      <c r="C4" s="29">
        <f>Info!D5</f>
        <v/>
      </c>
    </row>
    <row r="5" ht="16" customHeight="1">
      <c r="B5" s="4" t="inlineStr">
        <is>
          <t>Fabricante:</t>
        </is>
      </c>
      <c r="C5" s="30" t="inlineStr">
        <is>
          <t>IBM - International Business Machine</t>
        </is>
      </c>
    </row>
    <row r="6" ht="16" customHeight="1">
      <c r="B6" s="4" t="inlineStr">
        <is>
          <t>Fecha:</t>
        </is>
      </c>
      <c r="C6" s="31">
        <f>TODAY()</f>
        <v/>
      </c>
    </row>
    <row r="7" ht="16" customHeight="1"/>
    <row r="8" ht="16" customHeight="1">
      <c r="B8" s="30">
        <f>"A continuación, se comparten precios aprobados bajo SBID  "&amp;Info!J4&amp;" para el cliente "&amp;C4</f>
        <v/>
      </c>
    </row>
    <row r="10" ht="20" customHeight="1">
      <c r="B10" s="32" t="inlineStr">
        <is>
          <t>RESUMEN PROPUESTA ECONÓMICA</t>
        </is>
      </c>
    </row>
    <row r="11" ht="28" customHeight="1">
      <c r="B11" s="13" t="inlineStr">
        <is>
          <t>Fecha de Inicio</t>
        </is>
      </c>
      <c r="C11" s="13" t="inlineStr">
        <is>
          <t>Fecha de Fin</t>
        </is>
      </c>
      <c r="D11" s="13" t="inlineStr">
        <is>
          <t>Parte Número</t>
        </is>
      </c>
      <c r="E11" s="13" t="inlineStr">
        <is>
          <t>Descripción</t>
        </is>
      </c>
      <c r="F11" s="13" t="inlineStr">
        <is>
          <t>Cantidad</t>
        </is>
      </c>
      <c r="G11" s="13" t="inlineStr">
        <is>
          <t>Precio Cliente
Final (MEP)</t>
        </is>
      </c>
      <c r="H11" s="13" t="inlineStr">
        <is>
          <t>Margen Canal</t>
        </is>
      </c>
      <c r="I11" s="13" t="inlineStr">
        <is>
          <t>V/unit Canal</t>
        </is>
      </c>
      <c r="J11" s="13" t="inlineStr">
        <is>
          <t>Costo Total Canal</t>
        </is>
      </c>
    </row>
    <row r="12" ht="16" customHeight="1">
      <c r="B12" s="33">
        <f>Calculadora!F6</f>
        <v/>
      </c>
      <c r="C12" s="33">
        <f>Calculadora!G6</f>
        <v/>
      </c>
      <c r="D12" s="34">
        <f>Calculadora!H6</f>
        <v/>
      </c>
      <c r="E12" s="34">
        <f>Calculadora!I6</f>
        <v/>
      </c>
      <c r="F12" s="34">
        <f>Calculadora!L6</f>
        <v/>
      </c>
      <c r="G12" s="35">
        <f>Calculadora!O6</f>
        <v/>
      </c>
      <c r="H12" s="14">
        <f>Calculadora!P6</f>
        <v/>
      </c>
      <c r="I12" s="35">
        <f>Calculadora!Q6</f>
        <v/>
      </c>
      <c r="J12" s="35">
        <f>Calculadora!R6</f>
        <v/>
      </c>
    </row>
    <row r="13" ht="20" customHeight="1">
      <c r="B13" s="23" t="inlineStr">
        <is>
          <t>TOTAL:</t>
        </is>
      </c>
      <c r="G13" s="24">
        <f>SUM(G12:G12)</f>
        <v/>
      </c>
      <c r="J13" s="24">
        <f>SUM(J12:J12)</f>
        <v/>
      </c>
    </row>
    <row r="14" ht="16" customHeight="1">
      <c r="B14" s="9" t="inlineStr">
        <is>
          <t>Nota de descuento</t>
        </is>
      </c>
      <c r="J14" s="26">
        <f>Calculadora!O8</f>
        <v/>
      </c>
    </row>
    <row r="16" ht="28" customHeight="1">
      <c r="B16" s="36" t="inlineStr">
        <is>
          <t>Los precios aquí expresados son los precios a los que INGRAM MICRO SAS facturará al Canal. El precio al Cliente debe ser definido por el Canal o por el fabricante en su propuesta según las condiciones del negocio.</t>
        </is>
      </c>
    </row>
    <row r="17"/>
    <row r="19" ht="16" customHeight="1">
      <c r="B19" s="9" t="inlineStr">
        <is>
          <t>Margen transaccional aproximado incluyendo nota de descuento: 7.0%  Detalle de incentivos:</t>
        </is>
      </c>
    </row>
    <row r="20" ht="18" customHeight="1">
      <c r="B20" s="37" t="inlineStr"/>
      <c r="C20" s="37" t="inlineStr">
        <is>
          <t>Parte Número</t>
        </is>
      </c>
      <c r="D20" s="37" t="inlineStr">
        <is>
          <t>Descripción</t>
        </is>
      </c>
      <c r="E20" s="37" t="inlineStr">
        <is>
          <t>Cantidad</t>
        </is>
      </c>
      <c r="F20" s="37" t="inlineStr">
        <is>
          <t>Total Incentivo</t>
        </is>
      </c>
      <c r="G20" s="37" t="inlineStr">
        <is>
          <t>On time</t>
        </is>
      </c>
      <c r="H20" s="37" t="inlineStr">
        <is>
          <t>Renew</t>
        </is>
      </c>
    </row>
    <row r="21" ht="16" customHeight="1">
      <c r="C21" s="34">
        <f>Calculadora!H6</f>
        <v/>
      </c>
      <c r="D21" s="34">
        <f>Calculadora!I6</f>
        <v/>
      </c>
      <c r="E21" s="34">
        <f>Calculadora!L6</f>
        <v/>
      </c>
      <c r="F21" s="35">
        <f>Calculadora!AC6</f>
        <v/>
      </c>
      <c r="G21" s="35">
        <f>Calculadora!AD6</f>
        <v/>
      </c>
      <c r="H21" s="35">
        <f>Calculadora!AE6</f>
        <v/>
      </c>
    </row>
    <row r="22" ht="18" customHeight="1">
      <c r="C22" s="38" t="inlineStr">
        <is>
          <t>Total</t>
        </is>
      </c>
      <c r="F22" s="24">
        <f>SUM(F21:F21)</f>
        <v/>
      </c>
      <c r="G22" s="24">
        <f>SUM(G21:G21)</f>
        <v/>
      </c>
      <c r="H22" s="24">
        <f>SUM(H21:H21)</f>
        <v/>
      </c>
    </row>
    <row r="24" ht="18" customHeight="1">
      <c r="B24" s="39" t="inlineStr">
        <is>
          <t>Condiciones Generales de Cotización – INGRAM MICRO S.A.S.</t>
        </is>
      </c>
    </row>
    <row r="25" ht="14" customHeight="1">
      <c r="B25" s="36" t="inlineStr">
        <is>
          <t>• Incentivos sujetos a cambio de programa Partner Plus de IBM</t>
        </is>
      </c>
    </row>
    <row r="26" ht="14" customHeight="1">
      <c r="B26" s="36" t="inlineStr">
        <is>
          <t>• Los precios enviados en esta propuesta están aprobados por IBM bajo el SBID</t>
        </is>
      </c>
    </row>
    <row r="27" ht="14" customHeight="1">
      <c r="B27" s="36" t="inlineStr">
        <is>
          <t>• El manejo de los SBID está regulado por lo establecido en el BPA firmado con IBM.</t>
        </is>
      </c>
    </row>
    <row r="28" ht="14" customHeight="1">
      <c r="B28" s="36" t="inlineStr">
        <is>
          <t>• Para procesar este SBID, Ingram Micro podrá solicitar la Orden de Compra (OC) enviada por el cliente final.</t>
        </is>
      </c>
    </row>
    <row r="29" ht="14" customHeight="1">
      <c r="B29" s="36" t="inlineStr">
        <is>
          <t>• Las notas de descuento se generan de manera independiente tal y como las realiza el fabricante.</t>
        </is>
      </c>
    </row>
    <row r="30" ht="14" customHeight="1">
      <c r="B30" s="36" t="inlineStr">
        <is>
          <t>• Propuesta válida por 30 días. Los precios están expresados en USD y sujetos a cambios según las políticas de IBM.</t>
        </is>
      </c>
    </row>
    <row r="31" ht="14" customHeight="1">
      <c r="B31" s="36" t="inlineStr">
        <is>
          <t>• Se respetará el Precio Máximo para el Usuario Final (MEP), según lo indicado por IBM y el distribuidor autorizado.</t>
        </is>
      </c>
    </row>
    <row r="32" ht="14" customHeight="1">
      <c r="B32" s="36" t="inlineStr">
        <is>
          <t>• Los valores aquí mencionados no incluyen IVA, dicho impuesto será cargado en la factura.</t>
        </is>
      </c>
    </row>
    <row r="34" ht="16" customHeight="1">
      <c r="B34" s="40" t="inlineStr">
        <is>
          <t>Angela Herrera · Business Development Manager IBM · angela.herrera@ingrammicro.com · +57 316 696 91 38</t>
        </is>
      </c>
    </row>
  </sheetData>
  <mergeCells count="17">
    <mergeCell ref="B29:J29"/>
    <mergeCell ref="B16:J17"/>
    <mergeCell ref="A1:J1"/>
    <mergeCell ref="B25:J25"/>
    <mergeCell ref="B19:J19"/>
    <mergeCell ref="B34:J34"/>
    <mergeCell ref="B10:J10"/>
    <mergeCell ref="B28:J28"/>
    <mergeCell ref="B13:E13"/>
    <mergeCell ref="B32:J32"/>
    <mergeCell ref="B31:J31"/>
    <mergeCell ref="B26:J26"/>
    <mergeCell ref="B27:J27"/>
    <mergeCell ref="B8:J8"/>
    <mergeCell ref="A2:J2"/>
    <mergeCell ref="B30:J30"/>
    <mergeCell ref="B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6" customWidth="1" min="5" max="5"/>
    <col width="16" customWidth="1" min="6" max="6"/>
    <col width="2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6" customWidth="1" min="13" max="13"/>
    <col width="6" customWidth="1" min="14" max="14"/>
    <col width="6" customWidth="1" min="15" max="15"/>
    <col width="10" customWidth="1" min="16" max="16"/>
    <col width="10" customWidth="1" min="17" max="17"/>
    <col width="30" customWidth="1" min="18" max="18"/>
    <col width="14" customWidth="1" min="19" max="19"/>
    <col width="20" customWidth="1" min="20" max="20"/>
    <col width="3" customWidth="1" min="21" max="21"/>
    <col width="3" customWidth="1" min="22" max="22"/>
    <col width="3" customWidth="1" min="23" max="23"/>
    <col width="22" customWidth="1" min="24" max="24"/>
    <col width="22" customWidth="1" min="25" max="25"/>
  </cols>
  <sheetData>
    <row r="1" ht="24" customHeight="1">
      <c r="A1" s="1" t="inlineStr">
        <is>
          <t>ORDEN DE COMPRA INTERNA — IBM S&amp;S Renewals · Ingram Micro</t>
        </is>
      </c>
    </row>
    <row r="2" ht="16" customHeight="1">
      <c r="A2" s="13" t="inlineStr">
        <is>
          <t>TIPO DE SOLICITUD</t>
        </is>
      </c>
      <c r="B2" s="13" t="inlineStr">
        <is>
          <t>Código Canal</t>
        </is>
      </c>
      <c r="C2" s="13" t="inlineStr">
        <is>
          <t>Material</t>
        </is>
      </c>
      <c r="D2" s="13" t="inlineStr">
        <is>
          <t>IVA</t>
        </is>
      </c>
      <c r="E2" s="13" t="inlineStr">
        <is>
          <t>Número de parte</t>
        </is>
      </c>
      <c r="F2" s="13" t="inlineStr">
        <is>
          <t>Descripción</t>
        </is>
      </c>
      <c r="G2" s="13" t="inlineStr">
        <is>
          <t>Cantidad</t>
        </is>
      </c>
      <c r="H2" s="13" t="inlineStr">
        <is>
          <t>Precio de COMPRA UNITARIO</t>
        </is>
      </c>
      <c r="I2" s="13" t="inlineStr">
        <is>
          <t>Valor Acop 1 unitario</t>
        </is>
      </c>
      <c r="J2" s="13" t="inlineStr">
        <is>
          <t>Valor Acop 2 unitario</t>
        </is>
      </c>
      <c r="K2" s="13" t="inlineStr">
        <is>
          <t>Valor Pocc</t>
        </is>
      </c>
      <c r="L2" s="13" t="inlineStr">
        <is>
          <t>Nro. de Acop/Pocc,
Quote, Deal, Soup, OPG</t>
        </is>
      </c>
      <c r="M2" s="13" t="inlineStr">
        <is>
          <t>Nota descuento
Si / No</t>
        </is>
      </c>
      <c r="N2" s="13" t="inlineStr">
        <is>
          <t>SKU</t>
        </is>
      </c>
      <c r="O2" s="13" t="inlineStr">
        <is>
          <t>Comentarios</t>
        </is>
      </c>
      <c r="P2" s="13" t="inlineStr">
        <is>
          <t>Margen</t>
        </is>
      </c>
      <c r="Q2" s="13" t="inlineStr">
        <is>
          <t>Ship To</t>
        </is>
      </c>
      <c r="R2" s="13" t="inlineStr">
        <is>
          <t>Precio de Venta
UNITARIO</t>
        </is>
      </c>
      <c r="S2" s="13" t="inlineStr">
        <is>
          <t>TERMINO DE PAGO</t>
        </is>
      </c>
      <c r="T2" s="13" t="inlineStr">
        <is>
          <t>FIORI</t>
        </is>
      </c>
      <c r="W2" s="41" t="inlineStr">
        <is>
          <t>Nombre del Cliente:</t>
        </is>
      </c>
      <c r="X2" s="42">
        <f>Info!D5</f>
        <v/>
      </c>
    </row>
    <row r="3" ht="16" customHeight="1">
      <c r="A3" s="16" t="inlineStr">
        <is>
          <t>Compra</t>
        </is>
      </c>
      <c r="B3" s="34">
        <f>Info!$D$6</f>
        <v/>
      </c>
      <c r="F3" s="34">
        <f>Calculadora!H6</f>
        <v/>
      </c>
      <c r="G3" s="34">
        <f>Calculadora!L6</f>
        <v/>
      </c>
      <c r="H3" s="35">
        <f>Calculadora!S6</f>
        <v/>
      </c>
      <c r="I3" s="19" t="inlineStr">
        <is>
          <t>N/A</t>
        </is>
      </c>
      <c r="J3" s="19" t="inlineStr">
        <is>
          <t>N/A</t>
        </is>
      </c>
      <c r="K3" s="20">
        <f>H3*G3</f>
        <v/>
      </c>
      <c r="L3" s="34">
        <f>Info!$J$4</f>
        <v/>
      </c>
      <c r="M3" s="19" t="inlineStr">
        <is>
          <t>Si</t>
        </is>
      </c>
      <c r="N3" s="19" t="inlineStr">
        <is>
          <t>N/A</t>
        </is>
      </c>
      <c r="O3" s="16" t="inlineStr">
        <is>
          <t>El margen real de la NV es el 2,06%, Se factura fecha de emisión de la factura</t>
        </is>
      </c>
      <c r="P3" s="22">
        <f>IF(S3&lt;&gt;0,1-(H3/S3),"")</f>
        <v/>
      </c>
      <c r="Q3" s="16" t="inlineStr">
        <is>
          <t>Empresa, contacto celular, dirección, ciudad, etc.</t>
        </is>
      </c>
      <c r="R3" s="35">
        <f>Calculadora!Q6</f>
        <v/>
      </c>
      <c r="S3" s="34">
        <f>Calculadora!Q6</f>
        <v/>
      </c>
      <c r="T3" s="16" t="inlineStr">
        <is>
          <t>Estándar del canal</t>
        </is>
      </c>
    </row>
    <row r="4" ht="16" customHeight="1">
      <c r="W4" s="41" t="inlineStr">
        <is>
          <t>End User Segmentation:</t>
        </is>
      </c>
      <c r="X4" s="42">
        <f>Info!D4</f>
        <v/>
      </c>
    </row>
    <row r="5" ht="16" customHeight="1">
      <c r="X5" s="43" t="inlineStr">
        <is>
          <t>CO-LED – Select Territory</t>
        </is>
      </c>
    </row>
    <row r="6" ht="18" customHeight="1">
      <c r="B6" s="39" t="inlineStr">
        <is>
          <t>Resumen para importar a Xvantage</t>
        </is>
      </c>
      <c r="W6" s="41" t="inlineStr">
        <is>
          <t>Nombre del Reseller:</t>
        </is>
      </c>
      <c r="X6" s="42">
        <f>Info!D4</f>
        <v/>
      </c>
    </row>
    <row r="7" ht="18" customHeight="1">
      <c r="B7" s="37" t="inlineStr">
        <is>
          <t>Material</t>
        </is>
      </c>
      <c r="C7" s="37" t="inlineStr">
        <is>
          <t>Cant.</t>
        </is>
      </c>
      <c r="D7" s="37" t="inlineStr">
        <is>
          <t>Venta Unit U$</t>
        </is>
      </c>
      <c r="E7" s="37" t="inlineStr">
        <is>
          <t>Costo Unit U$</t>
        </is>
      </c>
      <c r="F7" s="37" t="inlineStr">
        <is>
          <t>Importar Xvantage</t>
        </is>
      </c>
      <c r="G7" s="37" t="inlineStr">
        <is>
          <t>Quote X4A</t>
        </is>
      </c>
      <c r="W7" s="41" t="inlineStr">
        <is>
          <t>Site Number:</t>
        </is>
      </c>
      <c r="X7" s="42">
        <f>Info!G5</f>
        <v/>
      </c>
    </row>
    <row r="8" ht="16" customHeight="1">
      <c r="B8" s="34">
        <f>F3</f>
        <v/>
      </c>
      <c r="C8" s="34">
        <f>G3</f>
        <v/>
      </c>
      <c r="D8" s="35">
        <f>R3</f>
        <v/>
      </c>
      <c r="E8" s="35">
        <f>H3</f>
        <v/>
      </c>
      <c r="F8" s="16">
        <f>C8&amp;","&amp;D8&amp;","&amp;TEXT(ROUNDUP(E8,2),"0.00")&amp;",,,,"&amp;TEXT(ROUNDUP(E8,2),"0.00")</f>
        <v/>
      </c>
      <c r="W8" s="41" t="inlineStr">
        <is>
          <t>Tipo de Licencia:</t>
        </is>
      </c>
      <c r="X8" s="43" t="inlineStr">
        <is>
          <t>Renew</t>
        </is>
      </c>
    </row>
    <row r="9" ht="16" customHeight="1">
      <c r="W9" s="41" t="inlineStr">
        <is>
          <t>Número de SBID:</t>
        </is>
      </c>
      <c r="X9" s="42">
        <f>Info!J4</f>
        <v/>
      </c>
    </row>
    <row r="10" ht="16" customHeight="1">
      <c r="W10" s="41" t="inlineStr">
        <is>
          <t>Quote Number:</t>
        </is>
      </c>
      <c r="X10" s="43" t="inlineStr"/>
    </row>
  </sheetData>
  <mergeCells count="2">
    <mergeCell ref="B6:G6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2026-04-20T22:41:58Z</dcterms:created>
  <dcterms:modified xsi:type="dcterms:W3CDTF">2026-04-20T22:41:58Z</dcterms:modified>
</cp:coreProperties>
</file>