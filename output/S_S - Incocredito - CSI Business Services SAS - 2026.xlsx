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165" fontId="10" fillId="10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 wrapText="1"/>
    </xf>
    <xf numFmtId="166" fontId="10" fillId="10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center" vertical="center"/>
    </xf>
    <xf numFmtId="166" fontId="11" fillId="10" borderId="0" applyAlignment="1" pivotButton="0" quotePrefix="0" xfId="0">
      <alignment horizontal="left" vertical="center"/>
    </xf>
    <xf numFmtId="10" fontId="10" fillId="10" borderId="0" applyAlignment="1" pivotButton="0" quotePrefix="0" xfId="0">
      <alignment horizontal="left" vertical="center"/>
    </xf>
    <xf numFmtId="10" fontId="11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0027445030  ·  Generado: 04/05/2026 14:22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CSI Business Services SAS</t>
        </is>
      </c>
      <c r="F4" s="4" t="inlineStr">
        <is>
          <t>ICN</t>
        </is>
      </c>
      <c r="G4" s="5" t="inlineStr">
        <is>
          <t>658030</t>
        </is>
      </c>
      <c r="I4" s="4" t="inlineStr">
        <is>
          <t>SBID/QUOTE</t>
        </is>
      </c>
      <c r="J4" s="6" t="inlineStr">
        <is>
          <t>0027445030</t>
        </is>
      </c>
    </row>
    <row r="5" ht="16" customHeight="1">
      <c r="C5" s="4" t="inlineStr">
        <is>
          <t>CLIENTE</t>
        </is>
      </c>
      <c r="D5" s="5" t="inlineStr">
        <is>
          <t>Incocredito</t>
        </is>
      </c>
      <c r="F5" s="4" t="inlineStr">
        <is>
          <t>SITE</t>
        </is>
      </c>
      <c r="G5" s="5" t="inlineStr">
        <is>
          <t>0007407958-Incocredito, Ave 28 39-07, COL</t>
        </is>
      </c>
    </row>
    <row r="6" ht="16" customHeight="1">
      <c r="C6" s="4" t="inlineStr">
        <is>
          <t>CÓDIGO CANAL</t>
        </is>
      </c>
      <c r="D6" s="5" t="inlineStr">
        <is>
          <t>0007956941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Incocredito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BP-Led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46143</v>
      </c>
      <c r="G6" s="15" t="n">
        <v>46507</v>
      </c>
      <c r="H6" s="16" t="inlineStr">
        <is>
          <t>E2DDQLL</t>
        </is>
      </c>
      <c r="I6" s="17" t="inlineStr">
        <is>
          <t>INFORMIX CLIENT SDK AUSI ANNUAL SW S&amp;S RNWL</t>
        </is>
      </c>
      <c r="J6" s="18" t="n">
        <v>549.62</v>
      </c>
      <c r="K6" s="18" t="n">
        <v>549.62</v>
      </c>
      <c r="L6" s="19" t="n">
        <v>1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IF(R11&lt;&gt;0,1-(AK11/R11),"")</f>
        <v/>
      </c>
      <c r="AM6" s="22">
        <f>IF(AJ11&lt;&gt;0,1-(AK11/AJ11),"")</f>
        <v/>
      </c>
    </row>
    <row r="7" ht="16" customHeight="1">
      <c r="B7" s="14">
        <f>Info!$G$14</f>
        <v/>
      </c>
      <c r="C7" s="14">
        <f>Info!$G$12</f>
        <v/>
      </c>
      <c r="D7" s="14">
        <f>Info!$F$14</f>
        <v/>
      </c>
      <c r="E7" s="14">
        <f>Info!$F$12</f>
        <v/>
      </c>
      <c r="F7" s="23" t="n">
        <v>46143</v>
      </c>
      <c r="G7" s="23" t="n">
        <v>46507</v>
      </c>
      <c r="H7" s="24" t="inlineStr">
        <is>
          <t>E08STLL</t>
        </is>
      </c>
      <c r="I7" s="25" t="inlineStr">
        <is>
          <t>INFORMIX WRKGP ED USER OPTION AU SINGLE INSTALL ANNUAL SW S&amp;S RNWL</t>
        </is>
      </c>
      <c r="J7" s="26" t="n">
        <v>210.52</v>
      </c>
      <c r="K7" s="26" t="n">
        <v>210.52</v>
      </c>
      <c r="L7" s="27" t="n">
        <v>10</v>
      </c>
      <c r="M7" s="28">
        <f>K7*L7</f>
        <v/>
      </c>
      <c r="N7" s="29" t="n">
        <v>0</v>
      </c>
      <c r="O7" s="28">
        <f>M7*(1-N7)</f>
        <v/>
      </c>
      <c r="P7" s="14">
        <f>Info!$J$10</f>
        <v/>
      </c>
      <c r="Q7" s="28">
        <f>R7/L7</f>
        <v/>
      </c>
      <c r="R7" s="28">
        <f>O7*(1-P7)</f>
        <v/>
      </c>
      <c r="S7" s="28">
        <f>U7/L7</f>
        <v/>
      </c>
      <c r="T7" s="28">
        <f>O7*(1-Info!$J$9)</f>
        <v/>
      </c>
      <c r="U7" s="28">
        <f>O7*(1-Info!$J$11)</f>
        <v/>
      </c>
      <c r="V7" s="30">
        <f>IF(R7&lt;&gt;0,1-U7/R7,"")</f>
        <v/>
      </c>
      <c r="W7" s="27" t="inlineStr">
        <is>
          <t>Año 1</t>
        </is>
      </c>
      <c r="X7" s="28">
        <f>O7/L7</f>
        <v/>
      </c>
      <c r="Z7" s="14">
        <f>Info!$F$12+Info!$G$12+Info!$F$14+Info!$G$14</f>
        <v/>
      </c>
      <c r="AA7" s="28">
        <f>Z7*O7</f>
        <v/>
      </c>
      <c r="AB7" s="14">
        <f>D7+E7</f>
        <v/>
      </c>
      <c r="AC7" s="28">
        <f>AB7*O7</f>
        <v/>
      </c>
      <c r="AD7" s="28">
        <f>O7*D7</f>
        <v/>
      </c>
      <c r="AE7" s="28">
        <f>O7*E7</f>
        <v/>
      </c>
      <c r="AF7" s="28">
        <f>IF(L7&lt;&gt;0,AA7/L7,"")</f>
        <v/>
      </c>
      <c r="AG7" s="28">
        <f>IF(L7&lt;&gt;0,AC7/L7,"")</f>
        <v/>
      </c>
      <c r="AH7" s="28">
        <f>IF(L7&lt;&gt;0,(AA7-AC7)/L7,"")</f>
        <v/>
      </c>
      <c r="AJ7" s="28">
        <f>R7-AC7</f>
        <v/>
      </c>
      <c r="AK7" s="28">
        <f>U7-AA7</f>
        <v/>
      </c>
      <c r="AL7" s="30">
        <f>IF(R11&lt;&gt;0,1-(AK11/R11),"")</f>
        <v/>
      </c>
      <c r="AM7" s="30">
        <f>IF(AJ11&lt;&gt;0,1-(AK11/AJ11),"")</f>
        <v/>
      </c>
    </row>
    <row r="8" ht="16" customHeight="1">
      <c r="B8" s="14">
        <f>Info!$G$14</f>
        <v/>
      </c>
      <c r="C8" s="14">
        <f>Info!$G$12</f>
        <v/>
      </c>
      <c r="D8" s="14">
        <f>Info!$F$14</f>
        <v/>
      </c>
      <c r="E8" s="14">
        <f>Info!$F$12</f>
        <v/>
      </c>
      <c r="F8" s="15" t="n">
        <v>46143</v>
      </c>
      <c r="G8" s="15" t="n">
        <v>46507</v>
      </c>
      <c r="H8" s="16" t="inlineStr">
        <is>
          <t>E08SQLL</t>
        </is>
      </c>
      <c r="I8" s="17" t="inlineStr">
        <is>
          <t>INFORMIX WRKGP ED CPU OPTION PROCESSOR VALUE UNIT ANNUAL SW S&amp;S RNWL</t>
        </is>
      </c>
      <c r="J8" s="18" t="n">
        <v>68.53</v>
      </c>
      <c r="K8" s="18" t="n">
        <v>68.53</v>
      </c>
      <c r="L8" s="19" t="n">
        <v>210</v>
      </c>
      <c r="M8" s="20">
        <f>K8*L8</f>
        <v/>
      </c>
      <c r="N8" s="21" t="n">
        <v>0</v>
      </c>
      <c r="O8" s="20">
        <f>M8*(1-N8)</f>
        <v/>
      </c>
      <c r="P8" s="14">
        <f>Info!$J$10</f>
        <v/>
      </c>
      <c r="Q8" s="20">
        <f>R8/L8</f>
        <v/>
      </c>
      <c r="R8" s="20">
        <f>O8*(1-P8)</f>
        <v/>
      </c>
      <c r="S8" s="20">
        <f>U8/L8</f>
        <v/>
      </c>
      <c r="T8" s="20">
        <f>O8*(1-Info!$J$9)</f>
        <v/>
      </c>
      <c r="U8" s="20">
        <f>O8*(1-Info!$J$11)</f>
        <v/>
      </c>
      <c r="V8" s="22">
        <f>IF(R8&lt;&gt;0,1-U8/R8,"")</f>
        <v/>
      </c>
      <c r="W8" s="19" t="inlineStr">
        <is>
          <t>Año 1</t>
        </is>
      </c>
      <c r="X8" s="20">
        <f>O8/L8</f>
        <v/>
      </c>
      <c r="Z8" s="14">
        <f>Info!$F$12+Info!$G$12+Info!$F$14+Info!$G$14</f>
        <v/>
      </c>
      <c r="AA8" s="20">
        <f>Z8*O8</f>
        <v/>
      </c>
      <c r="AB8" s="14">
        <f>D8+E8</f>
        <v/>
      </c>
      <c r="AC8" s="20">
        <f>AB8*O8</f>
        <v/>
      </c>
      <c r="AD8" s="20">
        <f>O8*D8</f>
        <v/>
      </c>
      <c r="AE8" s="20">
        <f>O8*E8</f>
        <v/>
      </c>
      <c r="AF8" s="20">
        <f>IF(L8&lt;&gt;0,AA8/L8,"")</f>
        <v/>
      </c>
      <c r="AG8" s="20">
        <f>IF(L8&lt;&gt;0,AC8/L8,"")</f>
        <v/>
      </c>
      <c r="AH8" s="20">
        <f>IF(L8&lt;&gt;0,(AA8-AC8)/L8,"")</f>
        <v/>
      </c>
      <c r="AJ8" s="20">
        <f>R8-AC8</f>
        <v/>
      </c>
      <c r="AK8" s="20">
        <f>U8-AA8</f>
        <v/>
      </c>
      <c r="AL8" s="22">
        <f>IF(R11&lt;&gt;0,1-(AK11/R11),"")</f>
        <v/>
      </c>
      <c r="AM8" s="22">
        <f>IF(AJ11&lt;&gt;0,1-(AK11/AJ11),"")</f>
        <v/>
      </c>
    </row>
    <row r="9" ht="16" customHeight="1">
      <c r="B9" s="14">
        <f>Info!$G$14</f>
        <v/>
      </c>
      <c r="C9" s="14">
        <f>Info!$G$12</f>
        <v/>
      </c>
      <c r="D9" s="14">
        <f>Info!$F$14</f>
        <v/>
      </c>
      <c r="E9" s="14">
        <f>Info!$F$12</f>
        <v/>
      </c>
      <c r="F9" s="23" t="n">
        <v>46143</v>
      </c>
      <c r="G9" s="23" t="n">
        <v>46507</v>
      </c>
      <c r="H9" s="24" t="inlineStr">
        <is>
          <t>E0HGKLL</t>
        </is>
      </c>
      <c r="I9" s="25" t="inlineStr">
        <is>
          <t>IBM WEBSPHERE APPLICATION SERVER LIBERTY CORE PVU ANNUAL SW S&amp;S RNWL</t>
        </is>
      </c>
      <c r="J9" s="26" t="n">
        <v>5.72</v>
      </c>
      <c r="K9" s="26" t="n">
        <v>5.72</v>
      </c>
      <c r="L9" s="27" t="n">
        <v>210</v>
      </c>
      <c r="M9" s="28">
        <f>K9*L9</f>
        <v/>
      </c>
      <c r="N9" s="29" t="n">
        <v>0</v>
      </c>
      <c r="O9" s="28">
        <f>M9*(1-N9)</f>
        <v/>
      </c>
      <c r="P9" s="14">
        <f>Info!$J$10</f>
        <v/>
      </c>
      <c r="Q9" s="28">
        <f>R9/L9</f>
        <v/>
      </c>
      <c r="R9" s="28">
        <f>O9*(1-P9)</f>
        <v/>
      </c>
      <c r="S9" s="28">
        <f>U9/L9</f>
        <v/>
      </c>
      <c r="T9" s="28">
        <f>O9*(1-Info!$J$9)</f>
        <v/>
      </c>
      <c r="U9" s="28">
        <f>O9*(1-Info!$J$11)</f>
        <v/>
      </c>
      <c r="V9" s="30">
        <f>IF(R9&lt;&gt;0,1-U9/R9,"")</f>
        <v/>
      </c>
      <c r="W9" s="27" t="inlineStr">
        <is>
          <t>Año 1</t>
        </is>
      </c>
      <c r="X9" s="28">
        <f>O9/L9</f>
        <v/>
      </c>
      <c r="Z9" s="14">
        <f>Info!$F$12+Info!$G$12+Info!$F$14+Info!$G$14</f>
        <v/>
      </c>
      <c r="AA9" s="28">
        <f>Z9*O9</f>
        <v/>
      </c>
      <c r="AB9" s="14">
        <f>D9+E9</f>
        <v/>
      </c>
      <c r="AC9" s="28">
        <f>AB9*O9</f>
        <v/>
      </c>
      <c r="AD9" s="28">
        <f>O9*D9</f>
        <v/>
      </c>
      <c r="AE9" s="28">
        <f>O9*E9</f>
        <v/>
      </c>
      <c r="AF9" s="28">
        <f>IF(L9&lt;&gt;0,AA9/L9,"")</f>
        <v/>
      </c>
      <c r="AG9" s="28">
        <f>IF(L9&lt;&gt;0,AC9/L9,"")</f>
        <v/>
      </c>
      <c r="AH9" s="28">
        <f>IF(L9&lt;&gt;0,(AA9-AC9)/L9,"")</f>
        <v/>
      </c>
      <c r="AJ9" s="28">
        <f>R9-AC9</f>
        <v/>
      </c>
      <c r="AK9" s="28">
        <f>U9-AA9</f>
        <v/>
      </c>
      <c r="AL9" s="30">
        <f>IF(R11&lt;&gt;0,1-(AK11/R11),"")</f>
        <v/>
      </c>
      <c r="AM9" s="30">
        <f>IF(AJ11&lt;&gt;0,1-(AK11/AJ11),"")</f>
        <v/>
      </c>
    </row>
    <row r="10" ht="16" customHeight="1">
      <c r="B10" s="14">
        <f>Info!$G$14</f>
        <v/>
      </c>
      <c r="C10" s="14">
        <f>Info!$G$12</f>
        <v/>
      </c>
      <c r="D10" s="14">
        <f>Info!$F$14</f>
        <v/>
      </c>
      <c r="E10" s="14">
        <f>Info!$F$12</f>
        <v/>
      </c>
      <c r="F10" s="15" t="n">
        <v>46143</v>
      </c>
      <c r="G10" s="15" t="n">
        <v>46507</v>
      </c>
      <c r="H10" s="16" t="inlineStr">
        <is>
          <t>E02HKLL</t>
        </is>
      </c>
      <c r="I10" s="17" t="inlineStr">
        <is>
          <t>WEBSPHERE APPLICATION SERVER EXPRESS PVU ANNUAL SW S&amp;S RNWL</t>
        </is>
      </c>
      <c r="J10" s="18" t="n">
        <v>12.57</v>
      </c>
      <c r="K10" s="18" t="n">
        <v>12.57</v>
      </c>
      <c r="L10" s="19" t="n">
        <v>420</v>
      </c>
      <c r="M10" s="20">
        <f>K10*L10</f>
        <v/>
      </c>
      <c r="N10" s="21" t="n">
        <v>0</v>
      </c>
      <c r="O10" s="20">
        <f>M10*(1-N10)</f>
        <v/>
      </c>
      <c r="P10" s="14">
        <f>Info!$J$10</f>
        <v/>
      </c>
      <c r="Q10" s="20">
        <f>R10/L10</f>
        <v/>
      </c>
      <c r="R10" s="20">
        <f>O10*(1-P10)</f>
        <v/>
      </c>
      <c r="S10" s="20">
        <f>U10/L10</f>
        <v/>
      </c>
      <c r="T10" s="20">
        <f>O10*(1-Info!$J$9)</f>
        <v/>
      </c>
      <c r="U10" s="20">
        <f>O10*(1-Info!$J$11)</f>
        <v/>
      </c>
      <c r="V10" s="22">
        <f>IF(R10&lt;&gt;0,1-U10/R10,"")</f>
        <v/>
      </c>
      <c r="W10" s="19" t="inlineStr">
        <is>
          <t>Año 1</t>
        </is>
      </c>
      <c r="X10" s="20">
        <f>O10/L10</f>
        <v/>
      </c>
      <c r="Z10" s="14">
        <f>Info!$F$12+Info!$G$12+Info!$F$14+Info!$G$14</f>
        <v/>
      </c>
      <c r="AA10" s="20">
        <f>Z10*O10</f>
        <v/>
      </c>
      <c r="AB10" s="14">
        <f>D10+E10</f>
        <v/>
      </c>
      <c r="AC10" s="20">
        <f>AB10*O10</f>
        <v/>
      </c>
      <c r="AD10" s="20">
        <f>O10*D10</f>
        <v/>
      </c>
      <c r="AE10" s="20">
        <f>O10*E10</f>
        <v/>
      </c>
      <c r="AF10" s="20">
        <f>IF(L10&lt;&gt;0,AA10/L10,"")</f>
        <v/>
      </c>
      <c r="AG10" s="20">
        <f>IF(L10&lt;&gt;0,AC10/L10,"")</f>
        <v/>
      </c>
      <c r="AH10" s="20">
        <f>IF(L10&lt;&gt;0,(AA10-AC10)/L10,"")</f>
        <v/>
      </c>
      <c r="AJ10" s="20">
        <f>R10-AC10</f>
        <v/>
      </c>
      <c r="AK10" s="20">
        <f>U10-AA10</f>
        <v/>
      </c>
      <c r="AL10" s="22">
        <f>IF(R11&lt;&gt;0,1-(AK11/R11),"")</f>
        <v/>
      </c>
      <c r="AM10" s="22">
        <f>IF(AJ11&lt;&gt;0,1-(AK11/AJ11),"")</f>
        <v/>
      </c>
    </row>
    <row r="11" ht="20" customHeight="1">
      <c r="L11" s="31" t="inlineStr">
        <is>
          <t>Total</t>
        </is>
      </c>
      <c r="O11" s="32">
        <f>SUM(O6:O10)</f>
        <v/>
      </c>
      <c r="R11" s="32">
        <f>SUM(R6:R10)</f>
        <v/>
      </c>
      <c r="T11" s="32">
        <f>SUM(T6:T10)</f>
        <v/>
      </c>
      <c r="U11" s="32">
        <f>SUM(U6:U10)</f>
        <v/>
      </c>
      <c r="V11" s="33">
        <f>IF(R11&lt;&gt;0,1-U11/R11,"")</f>
        <v/>
      </c>
      <c r="AA11" s="32">
        <f>SUM(AA6:AA10)</f>
        <v/>
      </c>
      <c r="AC11" s="32">
        <f>SUM(AC6:AC10)</f>
        <v/>
      </c>
      <c r="AD11" s="32">
        <f>SUM(AD6:AD10)</f>
        <v/>
      </c>
      <c r="AE11" s="32">
        <f>SUM(AE6:AE10)</f>
        <v/>
      </c>
      <c r="AJ11" s="32">
        <f>SUM(AJ6:AJ10)</f>
        <v/>
      </c>
      <c r="AK11" s="32">
        <f>SUM(AK6:AK10)</f>
        <v/>
      </c>
    </row>
    <row r="12" ht="16" customHeight="1">
      <c r="L12" s="9" t="inlineStr">
        <is>
          <t>Nota de descuento</t>
        </is>
      </c>
      <c r="O12" s="34">
        <f>AC11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35" t="inlineStr">
        <is>
          <t>INGRAM MICRO Colombia  ·  IBM Authorized Reseller</t>
        </is>
      </c>
    </row>
    <row r="2" ht="22" customHeight="1">
      <c r="A2" s="36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37">
        <f>Info!D4</f>
        <v/>
      </c>
    </row>
    <row r="4" ht="16" customHeight="1">
      <c r="B4" s="4" t="inlineStr">
        <is>
          <t>Cliente Final:</t>
        </is>
      </c>
      <c r="C4" s="37">
        <f>Info!D5</f>
        <v/>
      </c>
    </row>
    <row r="5" ht="16" customHeight="1">
      <c r="B5" s="4" t="inlineStr">
        <is>
          <t>Fabricante:</t>
        </is>
      </c>
      <c r="C5" s="38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9">
        <f>TODAY()</f>
        <v/>
      </c>
    </row>
    <row r="7" ht="16" customHeight="1"/>
    <row r="8" ht="16" customHeight="1">
      <c r="B8" s="38">
        <f>"A continuación, se comparten precios aprobados bajo SBID  "&amp;Info!J4&amp;" para el cliente "&amp;C4</f>
        <v/>
      </c>
    </row>
    <row r="10" ht="20" customHeight="1">
      <c r="B10" s="40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41">
        <f>Calculadora!F6</f>
        <v/>
      </c>
      <c r="C12" s="41">
        <f>Calculadora!G6</f>
        <v/>
      </c>
      <c r="D12" s="42">
        <f>Calculadora!H6</f>
        <v/>
      </c>
      <c r="E12" s="42">
        <f>Calculadora!I6</f>
        <v/>
      </c>
      <c r="F12" s="42">
        <f>Calculadora!L6</f>
        <v/>
      </c>
      <c r="G12" s="43">
        <f>Calculadora!O6</f>
        <v/>
      </c>
      <c r="H12" s="14">
        <f>Calculadora!P6</f>
        <v/>
      </c>
      <c r="I12" s="43">
        <f>Calculadora!Q6</f>
        <v/>
      </c>
      <c r="J12" s="43">
        <f>Calculadora!R6</f>
        <v/>
      </c>
    </row>
    <row r="13" ht="16" customHeight="1">
      <c r="B13" s="41">
        <f>Calculadora!F7</f>
        <v/>
      </c>
      <c r="C13" s="41">
        <f>Calculadora!G7</f>
        <v/>
      </c>
      <c r="D13" s="42">
        <f>Calculadora!H7</f>
        <v/>
      </c>
      <c r="E13" s="42">
        <f>Calculadora!I7</f>
        <v/>
      </c>
      <c r="F13" s="42">
        <f>Calculadora!L7</f>
        <v/>
      </c>
      <c r="G13" s="43">
        <f>Calculadora!O7</f>
        <v/>
      </c>
      <c r="H13" s="14">
        <f>Calculadora!P7</f>
        <v/>
      </c>
      <c r="I13" s="43">
        <f>Calculadora!Q7</f>
        <v/>
      </c>
      <c r="J13" s="43">
        <f>Calculadora!R7</f>
        <v/>
      </c>
    </row>
    <row r="14" ht="16" customHeight="1">
      <c r="B14" s="41">
        <f>Calculadora!F8</f>
        <v/>
      </c>
      <c r="C14" s="41">
        <f>Calculadora!G8</f>
        <v/>
      </c>
      <c r="D14" s="42">
        <f>Calculadora!H8</f>
        <v/>
      </c>
      <c r="E14" s="42">
        <f>Calculadora!I8</f>
        <v/>
      </c>
      <c r="F14" s="42">
        <f>Calculadora!L8</f>
        <v/>
      </c>
      <c r="G14" s="43">
        <f>Calculadora!O8</f>
        <v/>
      </c>
      <c r="H14" s="14">
        <f>Calculadora!P8</f>
        <v/>
      </c>
      <c r="I14" s="43">
        <f>Calculadora!Q8</f>
        <v/>
      </c>
      <c r="J14" s="43">
        <f>Calculadora!R8</f>
        <v/>
      </c>
    </row>
    <row r="15" ht="16" customHeight="1">
      <c r="B15" s="41">
        <f>Calculadora!F9</f>
        <v/>
      </c>
      <c r="C15" s="41">
        <f>Calculadora!G9</f>
        <v/>
      </c>
      <c r="D15" s="42">
        <f>Calculadora!H9</f>
        <v/>
      </c>
      <c r="E15" s="42">
        <f>Calculadora!I9</f>
        <v/>
      </c>
      <c r="F15" s="42">
        <f>Calculadora!L9</f>
        <v/>
      </c>
      <c r="G15" s="43">
        <f>Calculadora!O9</f>
        <v/>
      </c>
      <c r="H15" s="14">
        <f>Calculadora!P9</f>
        <v/>
      </c>
      <c r="I15" s="43">
        <f>Calculadora!Q9</f>
        <v/>
      </c>
      <c r="J15" s="43">
        <f>Calculadora!R9</f>
        <v/>
      </c>
    </row>
    <row r="16" ht="16" customHeight="1">
      <c r="B16" s="41">
        <f>Calculadora!F10</f>
        <v/>
      </c>
      <c r="C16" s="41">
        <f>Calculadora!G10</f>
        <v/>
      </c>
      <c r="D16" s="42">
        <f>Calculadora!H10</f>
        <v/>
      </c>
      <c r="E16" s="42">
        <f>Calculadora!I10</f>
        <v/>
      </c>
      <c r="F16" s="42">
        <f>Calculadora!L10</f>
        <v/>
      </c>
      <c r="G16" s="43">
        <f>Calculadora!O10</f>
        <v/>
      </c>
      <c r="H16" s="14">
        <f>Calculadora!P10</f>
        <v/>
      </c>
      <c r="I16" s="43">
        <f>Calculadora!Q10</f>
        <v/>
      </c>
      <c r="J16" s="43">
        <f>Calculadora!R10</f>
        <v/>
      </c>
    </row>
    <row r="17" ht="20" customHeight="1">
      <c r="B17" s="31" t="inlineStr">
        <is>
          <t>TOTAL:</t>
        </is>
      </c>
      <c r="G17" s="32">
        <f>SUM(G12:G16)</f>
        <v/>
      </c>
      <c r="J17" s="32">
        <f>SUM(J12:J16)</f>
        <v/>
      </c>
    </row>
    <row r="18" ht="16" customHeight="1">
      <c r="B18" s="9" t="inlineStr">
        <is>
          <t>Nota de descuento</t>
        </is>
      </c>
      <c r="J18" s="34">
        <f>Calculadora!O12</f>
        <v/>
      </c>
    </row>
    <row r="20" ht="28" customHeight="1">
      <c r="B20" s="44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21"/>
    <row r="23" ht="16" customHeight="1">
      <c r="B23" s="9" t="inlineStr">
        <is>
          <t>Margen transaccional aproximado incluyendo nota de descuento: 7.0%  Detalle de incentivos:</t>
        </is>
      </c>
    </row>
    <row r="24" ht="18" customHeight="1">
      <c r="B24" s="45" t="inlineStr"/>
      <c r="C24" s="45" t="inlineStr">
        <is>
          <t>Parte Número</t>
        </is>
      </c>
      <c r="D24" s="45" t="inlineStr">
        <is>
          <t>Descripción</t>
        </is>
      </c>
      <c r="E24" s="45" t="inlineStr">
        <is>
          <t>Cantidad</t>
        </is>
      </c>
      <c r="F24" s="45" t="inlineStr">
        <is>
          <t>Total Incentivo</t>
        </is>
      </c>
      <c r="G24" s="45" t="inlineStr">
        <is>
          <t>On time</t>
        </is>
      </c>
      <c r="H24" s="45" t="inlineStr">
        <is>
          <t>Renew</t>
        </is>
      </c>
    </row>
    <row r="25" ht="16" customHeight="1">
      <c r="C25" s="42">
        <f>Calculadora!H6</f>
        <v/>
      </c>
      <c r="D25" s="42">
        <f>Calculadora!I6</f>
        <v/>
      </c>
      <c r="E25" s="42">
        <f>Calculadora!L6</f>
        <v/>
      </c>
      <c r="F25" s="43">
        <f>Calculadora!AC6</f>
        <v/>
      </c>
      <c r="G25" s="43">
        <f>Calculadora!AD6</f>
        <v/>
      </c>
      <c r="H25" s="43">
        <f>Calculadora!AE6</f>
        <v/>
      </c>
    </row>
    <row r="26" ht="16" customHeight="1">
      <c r="C26" s="42">
        <f>Calculadora!H7</f>
        <v/>
      </c>
      <c r="D26" s="42">
        <f>Calculadora!I7</f>
        <v/>
      </c>
      <c r="E26" s="42">
        <f>Calculadora!L7</f>
        <v/>
      </c>
      <c r="F26" s="43">
        <f>Calculadora!AC7</f>
        <v/>
      </c>
      <c r="G26" s="43">
        <f>Calculadora!AD7</f>
        <v/>
      </c>
      <c r="H26" s="43">
        <f>Calculadora!AE7</f>
        <v/>
      </c>
    </row>
    <row r="27" ht="16" customHeight="1">
      <c r="C27" s="42">
        <f>Calculadora!H8</f>
        <v/>
      </c>
      <c r="D27" s="42">
        <f>Calculadora!I8</f>
        <v/>
      </c>
      <c r="E27" s="42">
        <f>Calculadora!L8</f>
        <v/>
      </c>
      <c r="F27" s="43">
        <f>Calculadora!AC8</f>
        <v/>
      </c>
      <c r="G27" s="43">
        <f>Calculadora!AD8</f>
        <v/>
      </c>
      <c r="H27" s="43">
        <f>Calculadora!AE8</f>
        <v/>
      </c>
    </row>
    <row r="28" ht="16" customHeight="1">
      <c r="C28" s="42">
        <f>Calculadora!H9</f>
        <v/>
      </c>
      <c r="D28" s="42">
        <f>Calculadora!I9</f>
        <v/>
      </c>
      <c r="E28" s="42">
        <f>Calculadora!L9</f>
        <v/>
      </c>
      <c r="F28" s="43">
        <f>Calculadora!AC9</f>
        <v/>
      </c>
      <c r="G28" s="43">
        <f>Calculadora!AD9</f>
        <v/>
      </c>
      <c r="H28" s="43">
        <f>Calculadora!AE9</f>
        <v/>
      </c>
    </row>
    <row r="29" ht="16" customHeight="1">
      <c r="C29" s="42">
        <f>Calculadora!H10</f>
        <v/>
      </c>
      <c r="D29" s="42">
        <f>Calculadora!I10</f>
        <v/>
      </c>
      <c r="E29" s="42">
        <f>Calculadora!L10</f>
        <v/>
      </c>
      <c r="F29" s="43">
        <f>Calculadora!AC10</f>
        <v/>
      </c>
      <c r="G29" s="43">
        <f>Calculadora!AD10</f>
        <v/>
      </c>
      <c r="H29" s="43">
        <f>Calculadora!AE10</f>
        <v/>
      </c>
    </row>
    <row r="30" ht="18" customHeight="1">
      <c r="C30" s="46" t="inlineStr">
        <is>
          <t>Total</t>
        </is>
      </c>
      <c r="F30" s="32">
        <f>SUM(F25:F29)</f>
        <v/>
      </c>
      <c r="G30" s="32">
        <f>SUM(G25:G29)</f>
        <v/>
      </c>
      <c r="H30" s="32">
        <f>SUM(H25:H29)</f>
        <v/>
      </c>
    </row>
    <row r="32" ht="18" customHeight="1">
      <c r="B32" s="47" t="inlineStr">
        <is>
          <t>Condiciones Generales de Cotización – INGRAM MICRO S.A.S.</t>
        </is>
      </c>
    </row>
    <row r="33" ht="14" customHeight="1">
      <c r="B33" s="44" t="inlineStr">
        <is>
          <t>• Incentivos sujetos a cambio de programa Partner Plus de IBM</t>
        </is>
      </c>
    </row>
    <row r="34" ht="14" customHeight="1">
      <c r="B34" s="44" t="inlineStr">
        <is>
          <t>• Los precios enviados en esta propuesta están aprobados por IBM bajo el SBID</t>
        </is>
      </c>
    </row>
    <row r="35" ht="14" customHeight="1">
      <c r="B35" s="44" t="inlineStr">
        <is>
          <t>• El manejo de los SBID está regulado por lo establecido en el BPA firmado con IBM.</t>
        </is>
      </c>
    </row>
    <row r="36" ht="14" customHeight="1">
      <c r="B36" s="44" t="inlineStr">
        <is>
          <t>• Para procesar este SBID, Ingram Micro podrá solicitar la Orden de Compra (OC) enviada por el cliente final.</t>
        </is>
      </c>
    </row>
    <row r="37" ht="14" customHeight="1">
      <c r="B37" s="44" t="inlineStr">
        <is>
          <t>• Las notas de descuento se generan de manera independiente tal y como las realiza el fabricante.</t>
        </is>
      </c>
    </row>
    <row r="38" ht="14" customHeight="1">
      <c r="B38" s="44" t="inlineStr">
        <is>
          <t>• Propuesta válida por 30 días. Los precios están expresados en USD y sujetos a cambios según las políticas de IBM.</t>
        </is>
      </c>
    </row>
    <row r="39" ht="14" customHeight="1">
      <c r="B39" s="44" t="inlineStr">
        <is>
          <t>• Se respetará el Precio Máximo para el Usuario Final (MEP), según lo indicado por IBM y el distribuidor autorizado.</t>
        </is>
      </c>
    </row>
    <row r="40" ht="14" customHeight="1">
      <c r="B40" s="44" t="inlineStr">
        <is>
          <t>• Los valores aquí mencionados no incluyen IVA, dicho impuesto será cargado en la factura.</t>
        </is>
      </c>
    </row>
    <row r="42" ht="16" customHeight="1">
      <c r="B42" s="48" t="inlineStr">
        <is>
          <t>Angela Herrera · Business Development Manager IBM · angela.herrera@ingrammicro.com · +57 316 696 91 38</t>
        </is>
      </c>
    </row>
  </sheetData>
  <mergeCells count="17">
    <mergeCell ref="B33:J33"/>
    <mergeCell ref="A1:J1"/>
    <mergeCell ref="B17:E17"/>
    <mergeCell ref="B34:J34"/>
    <mergeCell ref="B37:J37"/>
    <mergeCell ref="B10:J10"/>
    <mergeCell ref="B20:J21"/>
    <mergeCell ref="B42:J42"/>
    <mergeCell ref="B36:J36"/>
    <mergeCell ref="B32:J32"/>
    <mergeCell ref="B23:J23"/>
    <mergeCell ref="B40:J40"/>
    <mergeCell ref="B8:J8"/>
    <mergeCell ref="B35:J35"/>
    <mergeCell ref="A2:J2"/>
    <mergeCell ref="B39:J39"/>
    <mergeCell ref="B38:J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9" t="inlineStr">
        <is>
          <t>Nombre del Cliente:</t>
        </is>
      </c>
      <c r="X2" s="50">
        <f>Info!D5</f>
        <v/>
      </c>
    </row>
    <row r="3" ht="16" customHeight="1">
      <c r="A3" s="16" t="inlineStr">
        <is>
          <t>Compra</t>
        </is>
      </c>
      <c r="B3" s="42">
        <f>Info!$D$6</f>
        <v/>
      </c>
      <c r="F3" s="42">
        <f>Calculadora!H6</f>
        <v/>
      </c>
      <c r="G3" s="42">
        <f>Calculadora!L6</f>
        <v/>
      </c>
      <c r="H3" s="43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42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43">
        <f>Calculadora!Q6</f>
        <v/>
      </c>
      <c r="S3" s="42">
        <f>Calculadora!Q6</f>
        <v/>
      </c>
      <c r="T3" s="16" t="inlineStr">
        <is>
          <t>Estándar del canal</t>
        </is>
      </c>
    </row>
    <row r="4" ht="16" customHeight="1">
      <c r="A4" s="24" t="inlineStr">
        <is>
          <t>Compra</t>
        </is>
      </c>
      <c r="B4" s="42">
        <f>Info!$D$6</f>
        <v/>
      </c>
      <c r="F4" s="42">
        <f>Calculadora!H7</f>
        <v/>
      </c>
      <c r="G4" s="42">
        <f>Calculadora!L7</f>
        <v/>
      </c>
      <c r="H4" s="43">
        <f>Calculadora!S7</f>
        <v/>
      </c>
      <c r="I4" s="27" t="inlineStr">
        <is>
          <t>N/A</t>
        </is>
      </c>
      <c r="J4" s="27" t="inlineStr">
        <is>
          <t>N/A</t>
        </is>
      </c>
      <c r="K4" s="28">
        <f>H4*G4</f>
        <v/>
      </c>
      <c r="L4" s="42">
        <f>Info!$J$4</f>
        <v/>
      </c>
      <c r="M4" s="27" t="inlineStr">
        <is>
          <t>Si</t>
        </is>
      </c>
      <c r="N4" s="27" t="inlineStr">
        <is>
          <t>N/A</t>
        </is>
      </c>
      <c r="O4" s="24" t="inlineStr">
        <is>
          <t>El margen real de la NV es el 2,06%, Se factura fecha de emisión de la factura</t>
        </is>
      </c>
      <c r="P4" s="30">
        <f>IF(S4&lt;&gt;0,1-(H4/S4),"")</f>
        <v/>
      </c>
      <c r="Q4" s="24" t="inlineStr">
        <is>
          <t>Empresa, contacto celular, dirección, ciudad, etc.</t>
        </is>
      </c>
      <c r="R4" s="43">
        <f>Calculadora!Q7</f>
        <v/>
      </c>
      <c r="S4" s="42">
        <f>Calculadora!Q7</f>
        <v/>
      </c>
      <c r="T4" s="24" t="inlineStr">
        <is>
          <t>Estándar del canal</t>
        </is>
      </c>
      <c r="W4" s="49" t="inlineStr">
        <is>
          <t>End User Segmentation:</t>
        </is>
      </c>
      <c r="X4" s="50">
        <f>Info!D4</f>
        <v/>
      </c>
    </row>
    <row r="5" ht="16" customHeight="1">
      <c r="A5" s="16" t="inlineStr">
        <is>
          <t>Compra</t>
        </is>
      </c>
      <c r="B5" s="42">
        <f>Info!$D$6</f>
        <v/>
      </c>
      <c r="F5" s="42">
        <f>Calculadora!H8</f>
        <v/>
      </c>
      <c r="G5" s="42">
        <f>Calculadora!L8</f>
        <v/>
      </c>
      <c r="H5" s="43">
        <f>Calculadora!S8</f>
        <v/>
      </c>
      <c r="I5" s="19" t="inlineStr">
        <is>
          <t>N/A</t>
        </is>
      </c>
      <c r="J5" s="19" t="inlineStr">
        <is>
          <t>N/A</t>
        </is>
      </c>
      <c r="K5" s="20">
        <f>H5*G5</f>
        <v/>
      </c>
      <c r="L5" s="42">
        <f>Info!$J$4</f>
        <v/>
      </c>
      <c r="M5" s="19" t="inlineStr">
        <is>
          <t>Si</t>
        </is>
      </c>
      <c r="N5" s="19" t="inlineStr">
        <is>
          <t>N/A</t>
        </is>
      </c>
      <c r="O5" s="16" t="inlineStr">
        <is>
          <t>El margen real de la NV es el 2,06%, Se factura fecha de emisión de la factura</t>
        </is>
      </c>
      <c r="P5" s="22">
        <f>IF(S5&lt;&gt;0,1-(H5/S5),"")</f>
        <v/>
      </c>
      <c r="Q5" s="16" t="inlineStr">
        <is>
          <t>Empresa, contacto celular, dirección, ciudad, etc.</t>
        </is>
      </c>
      <c r="R5" s="43">
        <f>Calculadora!Q8</f>
        <v/>
      </c>
      <c r="S5" s="42">
        <f>Calculadora!Q8</f>
        <v/>
      </c>
      <c r="T5" s="16" t="inlineStr">
        <is>
          <t>Estándar del canal</t>
        </is>
      </c>
      <c r="X5" s="51" t="inlineStr">
        <is>
          <t>CO-LED – Select Territory</t>
        </is>
      </c>
    </row>
    <row r="6" ht="16" customHeight="1">
      <c r="A6" s="24" t="inlineStr">
        <is>
          <t>Compra</t>
        </is>
      </c>
      <c r="B6" s="42">
        <f>Info!$D$6</f>
        <v/>
      </c>
      <c r="F6" s="42">
        <f>Calculadora!H9</f>
        <v/>
      </c>
      <c r="G6" s="42">
        <f>Calculadora!L9</f>
        <v/>
      </c>
      <c r="H6" s="43">
        <f>Calculadora!S9</f>
        <v/>
      </c>
      <c r="I6" s="27" t="inlineStr">
        <is>
          <t>N/A</t>
        </is>
      </c>
      <c r="J6" s="27" t="inlineStr">
        <is>
          <t>N/A</t>
        </is>
      </c>
      <c r="K6" s="28">
        <f>H6*G6</f>
        <v/>
      </c>
      <c r="L6" s="42">
        <f>Info!$J$4</f>
        <v/>
      </c>
      <c r="M6" s="27" t="inlineStr">
        <is>
          <t>Si</t>
        </is>
      </c>
      <c r="N6" s="27" t="inlineStr">
        <is>
          <t>N/A</t>
        </is>
      </c>
      <c r="O6" s="24" t="inlineStr">
        <is>
          <t>El margen real de la NV es el 2,06%, Se factura fecha de emisión de la factura</t>
        </is>
      </c>
      <c r="P6" s="30">
        <f>IF(S6&lt;&gt;0,1-(H6/S6),"")</f>
        <v/>
      </c>
      <c r="Q6" s="24" t="inlineStr">
        <is>
          <t>Empresa, contacto celular, dirección, ciudad, etc.</t>
        </is>
      </c>
      <c r="R6" s="43">
        <f>Calculadora!Q9</f>
        <v/>
      </c>
      <c r="S6" s="42">
        <f>Calculadora!Q9</f>
        <v/>
      </c>
      <c r="T6" s="24" t="inlineStr">
        <is>
          <t>Estándar del canal</t>
        </is>
      </c>
      <c r="W6" s="49" t="inlineStr">
        <is>
          <t>Nombre del Reseller:</t>
        </is>
      </c>
      <c r="X6" s="50">
        <f>Info!D4</f>
        <v/>
      </c>
    </row>
    <row r="7" ht="16" customHeight="1">
      <c r="A7" s="16" t="inlineStr">
        <is>
          <t>Compra</t>
        </is>
      </c>
      <c r="B7" s="42">
        <f>Info!$D$6</f>
        <v/>
      </c>
      <c r="F7" s="42">
        <f>Calculadora!H10</f>
        <v/>
      </c>
      <c r="G7" s="42">
        <f>Calculadora!L10</f>
        <v/>
      </c>
      <c r="H7" s="43">
        <f>Calculadora!S10</f>
        <v/>
      </c>
      <c r="I7" s="19" t="inlineStr">
        <is>
          <t>N/A</t>
        </is>
      </c>
      <c r="J7" s="19" t="inlineStr">
        <is>
          <t>N/A</t>
        </is>
      </c>
      <c r="K7" s="20">
        <f>H7*G7</f>
        <v/>
      </c>
      <c r="L7" s="42">
        <f>Info!$J$4</f>
        <v/>
      </c>
      <c r="M7" s="19" t="inlineStr">
        <is>
          <t>Si</t>
        </is>
      </c>
      <c r="N7" s="19" t="inlineStr">
        <is>
          <t>N/A</t>
        </is>
      </c>
      <c r="O7" s="16" t="inlineStr">
        <is>
          <t>El margen real de la NV es el 2,06%, Se factura fecha de emisión de la factura</t>
        </is>
      </c>
      <c r="P7" s="22">
        <f>IF(S7&lt;&gt;0,1-(H7/S7),"")</f>
        <v/>
      </c>
      <c r="Q7" s="16" t="inlineStr">
        <is>
          <t>Empresa, contacto celular, dirección, ciudad, etc.</t>
        </is>
      </c>
      <c r="R7" s="43">
        <f>Calculadora!Q10</f>
        <v/>
      </c>
      <c r="S7" s="42">
        <f>Calculadora!Q10</f>
        <v/>
      </c>
      <c r="T7" s="16" t="inlineStr">
        <is>
          <t>Estándar del canal</t>
        </is>
      </c>
      <c r="W7" s="49" t="inlineStr">
        <is>
          <t>Site Number:</t>
        </is>
      </c>
      <c r="X7" s="50">
        <f>Info!G5</f>
        <v/>
      </c>
    </row>
    <row r="8" ht="16" customHeight="1">
      <c r="W8" s="49" t="inlineStr">
        <is>
          <t>Tipo de Licencia:</t>
        </is>
      </c>
      <c r="X8" s="51" t="inlineStr">
        <is>
          <t>Renew</t>
        </is>
      </c>
    </row>
    <row r="9" ht="16" customHeight="1">
      <c r="W9" s="49" t="inlineStr">
        <is>
          <t>Número de SBID:</t>
        </is>
      </c>
      <c r="X9" s="50">
        <f>Info!J4</f>
        <v/>
      </c>
    </row>
    <row r="10" ht="18" customHeight="1">
      <c r="B10" s="47" t="inlineStr">
        <is>
          <t>Resumen para importar a Xvantage</t>
        </is>
      </c>
      <c r="W10" s="49" t="inlineStr">
        <is>
          <t>Quote Number:</t>
        </is>
      </c>
      <c r="X10" s="51" t="inlineStr"/>
    </row>
    <row r="11" ht="18" customHeight="1">
      <c r="B11" s="45" t="inlineStr">
        <is>
          <t>Material</t>
        </is>
      </c>
      <c r="C11" s="45" t="inlineStr">
        <is>
          <t>Cant.</t>
        </is>
      </c>
      <c r="D11" s="45" t="inlineStr">
        <is>
          <t>Venta Unit U$</t>
        </is>
      </c>
      <c r="E11" s="45" t="inlineStr">
        <is>
          <t>Costo Unit U$</t>
        </is>
      </c>
      <c r="F11" s="45" t="inlineStr">
        <is>
          <t>Importar Xvantage</t>
        </is>
      </c>
      <c r="G11" s="45" t="inlineStr">
        <is>
          <t>Quote X4A</t>
        </is>
      </c>
    </row>
    <row r="12" ht="16" customHeight="1">
      <c r="B12" s="42">
        <f>F3</f>
        <v/>
      </c>
      <c r="C12" s="42">
        <f>G3</f>
        <v/>
      </c>
      <c r="D12" s="43">
        <f>R3</f>
        <v/>
      </c>
      <c r="E12" s="43">
        <f>H3</f>
        <v/>
      </c>
      <c r="F12" s="16">
        <f>C12&amp;","&amp;D12&amp;","&amp;TEXT(ROUNDUP(E12,2),"0.00")&amp;",,,,"&amp;TEXT(ROUNDUP(E12,2),"0.00")</f>
        <v/>
      </c>
    </row>
    <row r="13" ht="16" customHeight="1">
      <c r="B13" s="42">
        <f>F4</f>
        <v/>
      </c>
      <c r="C13" s="42">
        <f>G4</f>
        <v/>
      </c>
      <c r="D13" s="43">
        <f>R4</f>
        <v/>
      </c>
      <c r="E13" s="43">
        <f>H4</f>
        <v/>
      </c>
      <c r="F13" s="24">
        <f>C13&amp;","&amp;D13&amp;","&amp;TEXT(ROUNDUP(E13,2),"0.00")&amp;",,,,"&amp;TEXT(ROUNDUP(E13,2),"0.00")</f>
        <v/>
      </c>
    </row>
    <row r="14" ht="16" customHeight="1">
      <c r="B14" s="42">
        <f>F5</f>
        <v/>
      </c>
      <c r="C14" s="42">
        <f>G5</f>
        <v/>
      </c>
      <c r="D14" s="43">
        <f>R5</f>
        <v/>
      </c>
      <c r="E14" s="43">
        <f>H5</f>
        <v/>
      </c>
      <c r="F14" s="16">
        <f>C14&amp;","&amp;D14&amp;","&amp;TEXT(ROUNDUP(E14,2),"0.00")&amp;",,,,"&amp;TEXT(ROUNDUP(E14,2),"0.00")</f>
        <v/>
      </c>
    </row>
    <row r="15" ht="16" customHeight="1">
      <c r="B15" s="42">
        <f>F6</f>
        <v/>
      </c>
      <c r="C15" s="42">
        <f>G6</f>
        <v/>
      </c>
      <c r="D15" s="43">
        <f>R6</f>
        <v/>
      </c>
      <c r="E15" s="43">
        <f>H6</f>
        <v/>
      </c>
      <c r="F15" s="24">
        <f>C15&amp;","&amp;D15&amp;","&amp;TEXT(ROUNDUP(E15,2),"0.00")&amp;",,,,"&amp;TEXT(ROUNDUP(E15,2),"0.00")</f>
        <v/>
      </c>
    </row>
    <row r="16" ht="16" customHeight="1">
      <c r="B16" s="42">
        <f>F7</f>
        <v/>
      </c>
      <c r="C16" s="42">
        <f>G7</f>
        <v/>
      </c>
      <c r="D16" s="43">
        <f>R7</f>
        <v/>
      </c>
      <c r="E16" s="43">
        <f>H7</f>
        <v/>
      </c>
      <c r="F16" s="16">
        <f>C16&amp;","&amp;D16&amp;","&amp;TEXT(ROUNDUP(E16,2),"0.00")&amp;",,,,"&amp;TEXT(ROUNDUP(E16,2),"0.00")</f>
        <v/>
      </c>
    </row>
  </sheetData>
  <mergeCells count="2">
    <mergeCell ref="B10:G10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2026-05-04T19:22:30Z</dcterms:created>
  <dcterms:modified xsi:type="dcterms:W3CDTF">2026-05-04T19:22:31Z</dcterms:modified>
</cp:coreProperties>
</file>