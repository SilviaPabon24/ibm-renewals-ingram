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165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166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center" vertical="center"/>
    </xf>
    <xf numFmtId="166" fontId="11" fillId="10" borderId="0" applyAlignment="1" pivotButton="0" quotePrefix="0" xfId="0">
      <alignment horizontal="left" vertical="center"/>
    </xf>
    <xf numFmtId="10" fontId="10" fillId="10" borderId="0" applyAlignment="1" pivotButton="0" quotePrefix="0" xfId="0">
      <alignment horizontal="left" vertical="center"/>
    </xf>
    <xf numFmtId="10" fontId="11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0027446898  ·  Generado: 20/04/2026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WISEVISION DE COLOMBIA S A S</t>
        </is>
      </c>
      <c r="F4" s="4" t="inlineStr">
        <is>
          <t>ICN</t>
        </is>
      </c>
      <c r="G4" s="5" t="inlineStr">
        <is>
          <t>521400</t>
        </is>
      </c>
      <c r="I4" s="4" t="inlineStr">
        <is>
          <t>SBID/QUOTE</t>
        </is>
      </c>
      <c r="J4" s="6" t="inlineStr">
        <is>
          <t>0027446898</t>
        </is>
      </c>
    </row>
    <row r="5" ht="16" customHeight="1">
      <c r="C5" s="4" t="inlineStr">
        <is>
          <t>CLIENTE</t>
        </is>
      </c>
      <c r="D5" s="5" t="inlineStr">
        <is>
          <t>AXA COLPATRIA SEGUROS S.A.</t>
        </is>
      </c>
      <c r="F5" s="4" t="inlineStr">
        <is>
          <t>SITE</t>
        </is>
      </c>
      <c r="G5" s="5" t="inlineStr">
        <is>
          <t>0003767373-AXA COLPATRIA SEGUROS S.A., CR 7 24 89 PSO 7, COL</t>
        </is>
      </c>
    </row>
    <row r="6" ht="16" customHeight="1">
      <c r="C6" s="4" t="inlineStr">
        <is>
          <t>CÓDIGO CANAL</t>
        </is>
      </c>
      <c r="D6" s="5" t="inlineStr">
        <is>
          <t>0004048795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AXA COLPATRIA SEGUROS S.A.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Co-Led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46174</v>
      </c>
      <c r="G6" s="15" t="n">
        <v>46538</v>
      </c>
      <c r="H6" s="16" t="inlineStr">
        <is>
          <t>E11H8ZX</t>
        </is>
      </c>
      <c r="I6" s="17" t="inlineStr">
        <is>
          <t>IBM Guardium Aggregator Software Appliance Install Annual SW S&amp;S Rnwl</t>
        </is>
      </c>
      <c r="J6" s="18" t="n">
        <v>333.86</v>
      </c>
      <c r="K6" s="18" t="n">
        <v>333.86</v>
      </c>
      <c r="L6" s="19" t="n">
        <v>1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IF(R9&lt;&gt;0,1-(AK9/R9),"")</f>
        <v/>
      </c>
      <c r="AM6" s="22">
        <f>IF(AJ9&lt;&gt;0,1-(AK9/AJ9),"")</f>
        <v/>
      </c>
    </row>
    <row r="7" ht="16" customHeight="1">
      <c r="B7" s="14">
        <f>Info!$G$14</f>
        <v/>
      </c>
      <c r="C7" s="14">
        <f>Info!$G$12</f>
        <v/>
      </c>
      <c r="D7" s="14">
        <f>Info!$F$14</f>
        <v/>
      </c>
      <c r="E7" s="14">
        <f>Info!$F$12</f>
        <v/>
      </c>
      <c r="F7" s="23" t="n">
        <v>46174</v>
      </c>
      <c r="G7" s="23" t="n">
        <v>46538</v>
      </c>
      <c r="H7" s="24" t="inlineStr">
        <is>
          <t>E11H2ZX</t>
        </is>
      </c>
      <c r="I7" s="25" t="inlineStr">
        <is>
          <t>IBM Guardium Collector Software Appliance Install Annual SW S&amp;S Rnwl</t>
        </is>
      </c>
      <c r="J7" s="26" t="n">
        <v>332.76</v>
      </c>
      <c r="K7" s="26" t="n">
        <v>332.76</v>
      </c>
      <c r="L7" s="27" t="n">
        <v>3</v>
      </c>
      <c r="M7" s="28">
        <f>K7*L7</f>
        <v/>
      </c>
      <c r="N7" s="29" t="n">
        <v>0</v>
      </c>
      <c r="O7" s="28">
        <f>M7*(1-N7)</f>
        <v/>
      </c>
      <c r="P7" s="14">
        <f>Info!$J$10</f>
        <v/>
      </c>
      <c r="Q7" s="28">
        <f>R7/L7</f>
        <v/>
      </c>
      <c r="R7" s="28">
        <f>O7*(1-P7)</f>
        <v/>
      </c>
      <c r="S7" s="28">
        <f>U7/L7</f>
        <v/>
      </c>
      <c r="T7" s="28">
        <f>O7*(1-Info!$J$9)</f>
        <v/>
      </c>
      <c r="U7" s="28">
        <f>O7*(1-Info!$J$11)</f>
        <v/>
      </c>
      <c r="V7" s="30">
        <f>IF(R7&lt;&gt;0,1-U7/R7,"")</f>
        <v/>
      </c>
      <c r="W7" s="27" t="inlineStr">
        <is>
          <t>Año 1</t>
        </is>
      </c>
      <c r="X7" s="28">
        <f>O7/L7</f>
        <v/>
      </c>
      <c r="Z7" s="14">
        <f>Info!$F$12+Info!$G$12+Info!$F$14+Info!$G$14</f>
        <v/>
      </c>
      <c r="AA7" s="28">
        <f>Z7*O7</f>
        <v/>
      </c>
      <c r="AB7" s="14">
        <f>D7+E7</f>
        <v/>
      </c>
      <c r="AC7" s="28">
        <f>AB7*O7</f>
        <v/>
      </c>
      <c r="AD7" s="28">
        <f>O7*D7</f>
        <v/>
      </c>
      <c r="AE7" s="28">
        <f>O7*E7</f>
        <v/>
      </c>
      <c r="AF7" s="28">
        <f>IF(L7&lt;&gt;0,AA7/L7,"")</f>
        <v/>
      </c>
      <c r="AG7" s="28">
        <f>IF(L7&lt;&gt;0,AC7/L7,"")</f>
        <v/>
      </c>
      <c r="AH7" s="28">
        <f>IF(L7&lt;&gt;0,(AA7-AC7)/L7,"")</f>
        <v/>
      </c>
      <c r="AJ7" s="28">
        <f>R7-AC7</f>
        <v/>
      </c>
      <c r="AK7" s="28">
        <f>U7-AA7</f>
        <v/>
      </c>
      <c r="AL7" s="30">
        <f>IF(R9&lt;&gt;0,1-(AK9/R9),"")</f>
        <v/>
      </c>
      <c r="AM7" s="30">
        <f>IF(AJ9&lt;&gt;0,1-(AK9/AJ9),"")</f>
        <v/>
      </c>
    </row>
    <row r="8" ht="16" customHeight="1">
      <c r="B8" s="14">
        <f>Info!$G$14</f>
        <v/>
      </c>
      <c r="C8" s="14">
        <f>Info!$G$12</f>
        <v/>
      </c>
      <c r="D8" s="14">
        <f>Info!$F$14</f>
        <v/>
      </c>
      <c r="E8" s="14">
        <f>Info!$F$12</f>
        <v/>
      </c>
      <c r="F8" s="15" t="n">
        <v>46174</v>
      </c>
      <c r="G8" s="15" t="n">
        <v>46538</v>
      </c>
      <c r="H8" s="16" t="inlineStr">
        <is>
          <t>E0MQPLL</t>
        </is>
      </c>
      <c r="I8" s="17" t="inlineStr">
        <is>
          <t>GUARD DATA PRTCTN BIG DATA RVU ML ANNUAL SW S&amp;S RNWL</t>
        </is>
      </c>
      <c r="J8" s="18" t="n">
        <v>1809.16</v>
      </c>
      <c r="K8" s="18" t="n">
        <v>1809.16</v>
      </c>
      <c r="L8" s="19" t="n">
        <v>12</v>
      </c>
      <c r="M8" s="20">
        <f>K8*L8</f>
        <v/>
      </c>
      <c r="N8" s="21" t="n">
        <v>0</v>
      </c>
      <c r="O8" s="20">
        <f>M8*(1-N8)</f>
        <v/>
      </c>
      <c r="P8" s="14">
        <f>Info!$J$10</f>
        <v/>
      </c>
      <c r="Q8" s="20">
        <f>R8/L8</f>
        <v/>
      </c>
      <c r="R8" s="20">
        <f>O8*(1-P8)</f>
        <v/>
      </c>
      <c r="S8" s="20">
        <f>U8/L8</f>
        <v/>
      </c>
      <c r="T8" s="20">
        <f>O8*(1-Info!$J$9)</f>
        <v/>
      </c>
      <c r="U8" s="20">
        <f>O8*(1-Info!$J$11)</f>
        <v/>
      </c>
      <c r="V8" s="22">
        <f>IF(R8&lt;&gt;0,1-U8/R8,"")</f>
        <v/>
      </c>
      <c r="W8" s="19" t="inlineStr">
        <is>
          <t>Año 1</t>
        </is>
      </c>
      <c r="X8" s="20">
        <f>O8/L8</f>
        <v/>
      </c>
      <c r="Z8" s="14">
        <f>Info!$F$12+Info!$G$12+Info!$F$14+Info!$G$14</f>
        <v/>
      </c>
      <c r="AA8" s="20">
        <f>Z8*O8</f>
        <v/>
      </c>
      <c r="AB8" s="14">
        <f>D8+E8</f>
        <v/>
      </c>
      <c r="AC8" s="20">
        <f>AB8*O8</f>
        <v/>
      </c>
      <c r="AD8" s="20">
        <f>O8*D8</f>
        <v/>
      </c>
      <c r="AE8" s="20">
        <f>O8*E8</f>
        <v/>
      </c>
      <c r="AF8" s="20">
        <f>IF(L8&lt;&gt;0,AA8/L8,"")</f>
        <v/>
      </c>
      <c r="AG8" s="20">
        <f>IF(L8&lt;&gt;0,AC8/L8,"")</f>
        <v/>
      </c>
      <c r="AH8" s="20">
        <f>IF(L8&lt;&gt;0,(AA8-AC8)/L8,"")</f>
        <v/>
      </c>
      <c r="AJ8" s="20">
        <f>R8-AC8</f>
        <v/>
      </c>
      <c r="AK8" s="20">
        <f>U8-AA8</f>
        <v/>
      </c>
      <c r="AL8" s="22">
        <f>IF(R9&lt;&gt;0,1-(AK9/R9),"")</f>
        <v/>
      </c>
      <c r="AM8" s="22">
        <f>IF(AJ9&lt;&gt;0,1-(AK9/AJ9),"")</f>
        <v/>
      </c>
    </row>
    <row r="9" ht="20" customHeight="1">
      <c r="L9" s="31" t="inlineStr">
        <is>
          <t>Total</t>
        </is>
      </c>
      <c r="O9" s="32">
        <f>SUM(O6:O8)</f>
        <v/>
      </c>
      <c r="R9" s="32">
        <f>SUM(R6:R8)</f>
        <v/>
      </c>
      <c r="T9" s="32">
        <f>SUM(T6:T8)</f>
        <v/>
      </c>
      <c r="U9" s="32">
        <f>SUM(U6:U8)</f>
        <v/>
      </c>
      <c r="V9" s="33">
        <f>IF(R9&lt;&gt;0,1-U9/R9,"")</f>
        <v/>
      </c>
      <c r="AA9" s="32">
        <f>SUM(AA6:AA8)</f>
        <v/>
      </c>
      <c r="AC9" s="32">
        <f>SUM(AC6:AC8)</f>
        <v/>
      </c>
      <c r="AD9" s="32">
        <f>SUM(AD6:AD8)</f>
        <v/>
      </c>
      <c r="AE9" s="32">
        <f>SUM(AE6:AE8)</f>
        <v/>
      </c>
      <c r="AJ9" s="32">
        <f>SUM(AJ6:AJ8)</f>
        <v/>
      </c>
      <c r="AK9" s="32">
        <f>SUM(AK6:AK8)</f>
        <v/>
      </c>
    </row>
    <row r="10" ht="16" customHeight="1">
      <c r="L10" s="9" t="inlineStr">
        <is>
          <t>Nota de descuento</t>
        </is>
      </c>
      <c r="O10" s="34">
        <f>AC9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35" t="inlineStr">
        <is>
          <t>INGRAM MICRO Colombia  ·  IBM Authorized Reseller</t>
        </is>
      </c>
    </row>
    <row r="2" ht="22" customHeight="1">
      <c r="A2" s="36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37">
        <f>Info!D4</f>
        <v/>
      </c>
    </row>
    <row r="4" ht="16" customHeight="1">
      <c r="B4" s="4" t="inlineStr">
        <is>
          <t>Cliente Final:</t>
        </is>
      </c>
      <c r="C4" s="37">
        <f>Info!D5</f>
        <v/>
      </c>
    </row>
    <row r="5" ht="16" customHeight="1">
      <c r="B5" s="4" t="inlineStr">
        <is>
          <t>Fabricante:</t>
        </is>
      </c>
      <c r="C5" s="38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9">
        <f>TODAY()</f>
        <v/>
      </c>
    </row>
    <row r="7" ht="16" customHeight="1"/>
    <row r="8" ht="16" customHeight="1">
      <c r="B8" s="38">
        <f>"A continuación, se comparten precios aprobados bajo SBID  "&amp;Info!J4&amp;" para el cliente "&amp;C4</f>
        <v/>
      </c>
    </row>
    <row r="10" ht="20" customHeight="1">
      <c r="B10" s="40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41">
        <f>Calculadora!F6</f>
        <v/>
      </c>
      <c r="C12" s="41">
        <f>Calculadora!G6</f>
        <v/>
      </c>
      <c r="D12" s="42">
        <f>Calculadora!H6</f>
        <v/>
      </c>
      <c r="E12" s="42">
        <f>Calculadora!I6</f>
        <v/>
      </c>
      <c r="F12" s="42">
        <f>Calculadora!L6</f>
        <v/>
      </c>
      <c r="G12" s="43">
        <f>Calculadora!O6</f>
        <v/>
      </c>
      <c r="H12" s="14">
        <f>Calculadora!P6</f>
        <v/>
      </c>
      <c r="I12" s="43">
        <f>Calculadora!Q6</f>
        <v/>
      </c>
      <c r="J12" s="43">
        <f>Calculadora!R6</f>
        <v/>
      </c>
    </row>
    <row r="13" ht="16" customHeight="1">
      <c r="B13" s="41">
        <f>Calculadora!F7</f>
        <v/>
      </c>
      <c r="C13" s="41">
        <f>Calculadora!G7</f>
        <v/>
      </c>
      <c r="D13" s="42">
        <f>Calculadora!H7</f>
        <v/>
      </c>
      <c r="E13" s="42">
        <f>Calculadora!I7</f>
        <v/>
      </c>
      <c r="F13" s="42">
        <f>Calculadora!L7</f>
        <v/>
      </c>
      <c r="G13" s="43">
        <f>Calculadora!O7</f>
        <v/>
      </c>
      <c r="H13" s="14">
        <f>Calculadora!P7</f>
        <v/>
      </c>
      <c r="I13" s="43">
        <f>Calculadora!Q7</f>
        <v/>
      </c>
      <c r="J13" s="43">
        <f>Calculadora!R7</f>
        <v/>
      </c>
    </row>
    <row r="14" ht="16" customHeight="1">
      <c r="B14" s="41">
        <f>Calculadora!F8</f>
        <v/>
      </c>
      <c r="C14" s="41">
        <f>Calculadora!G8</f>
        <v/>
      </c>
      <c r="D14" s="42">
        <f>Calculadora!H8</f>
        <v/>
      </c>
      <c r="E14" s="42">
        <f>Calculadora!I8</f>
        <v/>
      </c>
      <c r="F14" s="42">
        <f>Calculadora!L8</f>
        <v/>
      </c>
      <c r="G14" s="43">
        <f>Calculadora!O8</f>
        <v/>
      </c>
      <c r="H14" s="14">
        <f>Calculadora!P8</f>
        <v/>
      </c>
      <c r="I14" s="43">
        <f>Calculadora!Q8</f>
        <v/>
      </c>
      <c r="J14" s="43">
        <f>Calculadora!R8</f>
        <v/>
      </c>
    </row>
    <row r="15" ht="20" customHeight="1">
      <c r="B15" s="31" t="inlineStr">
        <is>
          <t>TOTAL:</t>
        </is>
      </c>
      <c r="G15" s="32">
        <f>SUM(G12:G14)</f>
        <v/>
      </c>
      <c r="J15" s="32">
        <f>SUM(J12:J14)</f>
        <v/>
      </c>
    </row>
    <row r="16" ht="16" customHeight="1">
      <c r="B16" s="9" t="inlineStr">
        <is>
          <t>Nota de descuento</t>
        </is>
      </c>
      <c r="J16" s="34">
        <f>Calculadora!O10</f>
        <v/>
      </c>
    </row>
    <row r="18" ht="28" customHeight="1">
      <c r="B18" s="44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9"/>
    <row r="21" ht="16" customHeight="1">
      <c r="B21" s="9" t="inlineStr">
        <is>
          <t>Margen transaccional aproximado incluyendo nota de descuento: 7.0%  Detalle de incentivos:</t>
        </is>
      </c>
    </row>
    <row r="22" ht="18" customHeight="1">
      <c r="B22" s="45" t="inlineStr"/>
      <c r="C22" s="45" t="inlineStr">
        <is>
          <t>Parte Número</t>
        </is>
      </c>
      <c r="D22" s="45" t="inlineStr">
        <is>
          <t>Descripción</t>
        </is>
      </c>
      <c r="E22" s="45" t="inlineStr">
        <is>
          <t>Cantidad</t>
        </is>
      </c>
      <c r="F22" s="45" t="inlineStr">
        <is>
          <t>Total Incentivo</t>
        </is>
      </c>
      <c r="G22" s="45" t="inlineStr">
        <is>
          <t>On time</t>
        </is>
      </c>
      <c r="H22" s="45" t="inlineStr">
        <is>
          <t>Renew</t>
        </is>
      </c>
    </row>
    <row r="23" ht="16" customHeight="1">
      <c r="C23" s="42">
        <f>Calculadora!H6</f>
        <v/>
      </c>
      <c r="D23" s="42">
        <f>Calculadora!I6</f>
        <v/>
      </c>
      <c r="E23" s="42">
        <f>Calculadora!L6</f>
        <v/>
      </c>
      <c r="F23" s="43">
        <f>Calculadora!AC6</f>
        <v/>
      </c>
      <c r="G23" s="43">
        <f>Calculadora!AD6</f>
        <v/>
      </c>
      <c r="H23" s="43">
        <f>Calculadora!AE6</f>
        <v/>
      </c>
    </row>
    <row r="24" ht="16" customHeight="1">
      <c r="C24" s="42">
        <f>Calculadora!H7</f>
        <v/>
      </c>
      <c r="D24" s="42">
        <f>Calculadora!I7</f>
        <v/>
      </c>
      <c r="E24" s="42">
        <f>Calculadora!L7</f>
        <v/>
      </c>
      <c r="F24" s="43">
        <f>Calculadora!AC7</f>
        <v/>
      </c>
      <c r="G24" s="43">
        <f>Calculadora!AD7</f>
        <v/>
      </c>
      <c r="H24" s="43">
        <f>Calculadora!AE7</f>
        <v/>
      </c>
    </row>
    <row r="25" ht="16" customHeight="1">
      <c r="C25" s="42">
        <f>Calculadora!H8</f>
        <v/>
      </c>
      <c r="D25" s="42">
        <f>Calculadora!I8</f>
        <v/>
      </c>
      <c r="E25" s="42">
        <f>Calculadora!L8</f>
        <v/>
      </c>
      <c r="F25" s="43">
        <f>Calculadora!AC8</f>
        <v/>
      </c>
      <c r="G25" s="43">
        <f>Calculadora!AD8</f>
        <v/>
      </c>
      <c r="H25" s="43">
        <f>Calculadora!AE8</f>
        <v/>
      </c>
    </row>
    <row r="26" ht="18" customHeight="1">
      <c r="C26" s="46" t="inlineStr">
        <is>
          <t>Total</t>
        </is>
      </c>
      <c r="F26" s="32">
        <f>SUM(F23:F25)</f>
        <v/>
      </c>
      <c r="G26" s="32">
        <f>SUM(G23:G25)</f>
        <v/>
      </c>
      <c r="H26" s="32">
        <f>SUM(H23:H25)</f>
        <v/>
      </c>
    </row>
    <row r="28" ht="18" customHeight="1">
      <c r="B28" s="47" t="inlineStr">
        <is>
          <t>Condiciones Generales de Cotización – INGRAM MICRO S.A.S.</t>
        </is>
      </c>
    </row>
    <row r="29" ht="14" customHeight="1">
      <c r="B29" s="44" t="inlineStr">
        <is>
          <t>• Incentivos sujetos a cambio de programa Partner Plus de IBM</t>
        </is>
      </c>
    </row>
    <row r="30" ht="14" customHeight="1">
      <c r="B30" s="44" t="inlineStr">
        <is>
          <t>• Los precios enviados en esta propuesta están aprobados por IBM bajo el SBID</t>
        </is>
      </c>
    </row>
    <row r="31" ht="14" customHeight="1">
      <c r="B31" s="44" t="inlineStr">
        <is>
          <t>• El manejo de los SBID está regulado por lo establecido en el BPA firmado con IBM.</t>
        </is>
      </c>
    </row>
    <row r="32" ht="14" customHeight="1">
      <c r="B32" s="44" t="inlineStr">
        <is>
          <t>• Para procesar este SBID, Ingram Micro podrá solicitar la Orden de Compra (OC) enviada por el cliente final.</t>
        </is>
      </c>
    </row>
    <row r="33" ht="14" customHeight="1">
      <c r="B33" s="44" t="inlineStr">
        <is>
          <t>• Las notas de descuento se generan de manera independiente tal y como las realiza el fabricante.</t>
        </is>
      </c>
    </row>
    <row r="34" ht="14" customHeight="1">
      <c r="B34" s="44" t="inlineStr">
        <is>
          <t>• Propuesta válida por 30 días. Los precios están expresados en USD y sujetos a cambios según las políticas de IBM.</t>
        </is>
      </c>
    </row>
    <row r="35" ht="14" customHeight="1">
      <c r="B35" s="44" t="inlineStr">
        <is>
          <t>• Se respetará el Precio Máximo para el Usuario Final (MEP), según lo indicado por IBM y el distribuidor autorizado.</t>
        </is>
      </c>
    </row>
    <row r="36" ht="14" customHeight="1">
      <c r="B36" s="44" t="inlineStr">
        <is>
          <t>• Los valores aquí mencionados no incluyen IVA, dicho impuesto será cargado en la factura.</t>
        </is>
      </c>
    </row>
    <row r="38" ht="16" customHeight="1">
      <c r="B38" s="48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33:J33"/>
    <mergeCell ref="A1:J1"/>
    <mergeCell ref="B38:J38"/>
    <mergeCell ref="B34:J34"/>
    <mergeCell ref="B10:J10"/>
    <mergeCell ref="B28:J28"/>
    <mergeCell ref="B36:J36"/>
    <mergeCell ref="B32:J32"/>
    <mergeCell ref="B31:J31"/>
    <mergeCell ref="B15:E15"/>
    <mergeCell ref="B8:J8"/>
    <mergeCell ref="B18:J19"/>
    <mergeCell ref="B35:J35"/>
    <mergeCell ref="A2:J2"/>
    <mergeCell ref="B30:J30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9" t="inlineStr">
        <is>
          <t>Nombre del Cliente:</t>
        </is>
      </c>
      <c r="X2" s="50">
        <f>Info!D5</f>
        <v/>
      </c>
    </row>
    <row r="3" ht="16" customHeight="1">
      <c r="A3" s="16" t="inlineStr">
        <is>
          <t>Compra</t>
        </is>
      </c>
      <c r="B3" s="42">
        <f>Info!$D$6</f>
        <v/>
      </c>
      <c r="F3" s="42">
        <f>Calculadora!H6</f>
        <v/>
      </c>
      <c r="G3" s="42">
        <f>Calculadora!L6</f>
        <v/>
      </c>
      <c r="H3" s="43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42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43">
        <f>Calculadora!Q6</f>
        <v/>
      </c>
      <c r="S3" s="42">
        <f>Calculadora!Q6</f>
        <v/>
      </c>
      <c r="T3" s="16" t="inlineStr">
        <is>
          <t>Estándar del canal</t>
        </is>
      </c>
    </row>
    <row r="4" ht="16" customHeight="1">
      <c r="A4" s="24" t="inlineStr">
        <is>
          <t>Compra</t>
        </is>
      </c>
      <c r="B4" s="42">
        <f>Info!$D$6</f>
        <v/>
      </c>
      <c r="F4" s="42">
        <f>Calculadora!H7</f>
        <v/>
      </c>
      <c r="G4" s="42">
        <f>Calculadora!L7</f>
        <v/>
      </c>
      <c r="H4" s="43">
        <f>Calculadora!S7</f>
        <v/>
      </c>
      <c r="I4" s="27" t="inlineStr">
        <is>
          <t>N/A</t>
        </is>
      </c>
      <c r="J4" s="27" t="inlineStr">
        <is>
          <t>N/A</t>
        </is>
      </c>
      <c r="K4" s="28">
        <f>H4*G4</f>
        <v/>
      </c>
      <c r="L4" s="42">
        <f>Info!$J$4</f>
        <v/>
      </c>
      <c r="M4" s="27" t="inlineStr">
        <is>
          <t>Si</t>
        </is>
      </c>
      <c r="N4" s="27" t="inlineStr">
        <is>
          <t>N/A</t>
        </is>
      </c>
      <c r="O4" s="24" t="inlineStr">
        <is>
          <t>El margen real de la NV es el 2,06%, Se factura fecha de emisión de la factura</t>
        </is>
      </c>
      <c r="P4" s="30">
        <f>IF(S4&lt;&gt;0,1-(H4/S4),"")</f>
        <v/>
      </c>
      <c r="Q4" s="24" t="inlineStr">
        <is>
          <t>Empresa, contacto celular, dirección, ciudad, etc.</t>
        </is>
      </c>
      <c r="R4" s="43">
        <f>Calculadora!Q7</f>
        <v/>
      </c>
      <c r="S4" s="42">
        <f>Calculadora!Q7</f>
        <v/>
      </c>
      <c r="T4" s="24" t="inlineStr">
        <is>
          <t>Estándar del canal</t>
        </is>
      </c>
      <c r="W4" s="49" t="inlineStr">
        <is>
          <t>End User Segmentation:</t>
        </is>
      </c>
      <c r="X4" s="50">
        <f>Info!D4</f>
        <v/>
      </c>
    </row>
    <row r="5" ht="16" customHeight="1">
      <c r="A5" s="16" t="inlineStr">
        <is>
          <t>Compra</t>
        </is>
      </c>
      <c r="B5" s="42">
        <f>Info!$D$6</f>
        <v/>
      </c>
      <c r="F5" s="42">
        <f>Calculadora!H8</f>
        <v/>
      </c>
      <c r="G5" s="42">
        <f>Calculadora!L8</f>
        <v/>
      </c>
      <c r="H5" s="43">
        <f>Calculadora!S8</f>
        <v/>
      </c>
      <c r="I5" s="19" t="inlineStr">
        <is>
          <t>N/A</t>
        </is>
      </c>
      <c r="J5" s="19" t="inlineStr">
        <is>
          <t>N/A</t>
        </is>
      </c>
      <c r="K5" s="20">
        <f>H5*G5</f>
        <v/>
      </c>
      <c r="L5" s="42">
        <f>Info!$J$4</f>
        <v/>
      </c>
      <c r="M5" s="19" t="inlineStr">
        <is>
          <t>Si</t>
        </is>
      </c>
      <c r="N5" s="19" t="inlineStr">
        <is>
          <t>N/A</t>
        </is>
      </c>
      <c r="O5" s="16" t="inlineStr">
        <is>
          <t>El margen real de la NV es el 2,06%, Se factura fecha de emisión de la factura</t>
        </is>
      </c>
      <c r="P5" s="22">
        <f>IF(S5&lt;&gt;0,1-(H5/S5),"")</f>
        <v/>
      </c>
      <c r="Q5" s="16" t="inlineStr">
        <is>
          <t>Empresa, contacto celular, dirección, ciudad, etc.</t>
        </is>
      </c>
      <c r="R5" s="43">
        <f>Calculadora!Q8</f>
        <v/>
      </c>
      <c r="S5" s="42">
        <f>Calculadora!Q8</f>
        <v/>
      </c>
      <c r="T5" s="16" t="inlineStr">
        <is>
          <t>Estándar del canal</t>
        </is>
      </c>
      <c r="X5" s="51" t="inlineStr">
        <is>
          <t>CO-LED – Select Territory</t>
        </is>
      </c>
    </row>
    <row r="6" ht="16" customHeight="1">
      <c r="W6" s="49" t="inlineStr">
        <is>
          <t>Nombre del Reseller:</t>
        </is>
      </c>
      <c r="X6" s="50">
        <f>Info!D4</f>
        <v/>
      </c>
    </row>
    <row r="7" ht="16" customHeight="1">
      <c r="W7" s="49" t="inlineStr">
        <is>
          <t>Site Number:</t>
        </is>
      </c>
      <c r="X7" s="50">
        <f>Info!G5</f>
        <v/>
      </c>
    </row>
    <row r="8" ht="18" customHeight="1">
      <c r="B8" s="47" t="inlineStr">
        <is>
          <t>Resumen para importar a Xvantage</t>
        </is>
      </c>
      <c r="W8" s="49" t="inlineStr">
        <is>
          <t>Tipo de Licencia:</t>
        </is>
      </c>
      <c r="X8" s="51" t="inlineStr">
        <is>
          <t>Renew</t>
        </is>
      </c>
    </row>
    <row r="9" ht="18" customHeight="1">
      <c r="B9" s="45" t="inlineStr">
        <is>
          <t>Material</t>
        </is>
      </c>
      <c r="C9" s="45" t="inlineStr">
        <is>
          <t>Cant.</t>
        </is>
      </c>
      <c r="D9" s="45" t="inlineStr">
        <is>
          <t>Venta Unit U$</t>
        </is>
      </c>
      <c r="E9" s="45" t="inlineStr">
        <is>
          <t>Costo Unit U$</t>
        </is>
      </c>
      <c r="F9" s="45" t="inlineStr">
        <is>
          <t>Importar Xvantage</t>
        </is>
      </c>
      <c r="G9" s="45" t="inlineStr">
        <is>
          <t>Quote X4A</t>
        </is>
      </c>
      <c r="W9" s="49" t="inlineStr">
        <is>
          <t>Número de SBID:</t>
        </is>
      </c>
      <c r="X9" s="50">
        <f>Info!J4</f>
        <v/>
      </c>
    </row>
    <row r="10" ht="16" customHeight="1">
      <c r="B10" s="42">
        <f>F3</f>
        <v/>
      </c>
      <c r="C10" s="42">
        <f>G3</f>
        <v/>
      </c>
      <c r="D10" s="43">
        <f>R3</f>
        <v/>
      </c>
      <c r="E10" s="43">
        <f>H3</f>
        <v/>
      </c>
      <c r="F10" s="16">
        <f>C10&amp;","&amp;D10&amp;","&amp;TEXT(ROUNDUP(E10,2),"0.00")&amp;",,,,"&amp;TEXT(ROUNDUP(E10,2),"0.00")</f>
        <v/>
      </c>
      <c r="W10" s="49" t="inlineStr">
        <is>
          <t>Quote Number:</t>
        </is>
      </c>
      <c r="X10" s="51" t="inlineStr"/>
    </row>
    <row r="11" ht="16" customHeight="1">
      <c r="B11" s="42">
        <f>F4</f>
        <v/>
      </c>
      <c r="C11" s="42">
        <f>G4</f>
        <v/>
      </c>
      <c r="D11" s="43">
        <f>R4</f>
        <v/>
      </c>
      <c r="E11" s="43">
        <f>H4</f>
        <v/>
      </c>
      <c r="F11" s="24">
        <f>C11&amp;","&amp;D11&amp;","&amp;TEXT(ROUNDUP(E11,2),"0.00")&amp;",,,,"&amp;TEXT(ROUNDUP(E11,2),"0.00")</f>
        <v/>
      </c>
    </row>
    <row r="12" ht="16" customHeight="1">
      <c r="B12" s="42">
        <f>F5</f>
        <v/>
      </c>
      <c r="C12" s="42">
        <f>G5</f>
        <v/>
      </c>
      <c r="D12" s="43">
        <f>R5</f>
        <v/>
      </c>
      <c r="E12" s="43">
        <f>H5</f>
        <v/>
      </c>
      <c r="F12" s="16">
        <f>C12&amp;","&amp;D12&amp;","&amp;TEXT(ROUNDUP(E12,2),"0.00")&amp;",,,,"&amp;TEXT(ROUNDUP(E12,2),"0.00")</f>
        <v/>
      </c>
    </row>
  </sheetData>
  <mergeCells count="2">
    <mergeCell ref="B8:G8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2026-04-20T22:41:56Z</dcterms:created>
  <dcterms:modified xsi:type="dcterms:W3CDTF">2026-04-20T22:41:56Z</dcterms:modified>
</cp:coreProperties>
</file>