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copabs00\Downloads\"/>
    </mc:Choice>
  </mc:AlternateContent>
  <xr:revisionPtr revIDLastSave="0" documentId="13_ncr:1_{A784D141-4118-4168-913A-AD9E8E40A432}" xr6:coauthVersionLast="47" xr6:coauthVersionMax="47" xr10:uidLastSave="{00000000-0000-0000-0000-000000000000}"/>
  <bookViews>
    <workbookView xWindow="-110" yWindow="-110" windowWidth="19420" windowHeight="10300" xr2:uid="{00000000-000D-0000-FFFF-FFFF00000000}"/>
  </bookViews>
  <sheets>
    <sheet name="SBid " sheetId="1" r:id="rId1"/>
    <sheet name="Factsheet" sheetId="2" r:id="rId2"/>
  </sheets>
  <definedNames>
    <definedName name="_xlnm.Print_Area">'SBid '!$A$1:$R$49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B7" i="1"/>
  <c r="B8" i="1"/>
  <c r="J32" i="1" l="1"/>
  <c r="M32" i="1" s="1"/>
  <c r="N32" i="1" s="1"/>
  <c r="J33" i="1"/>
  <c r="K33" i="1" s="1"/>
  <c r="J34" i="1"/>
  <c r="M34" i="1" s="1"/>
  <c r="N34" i="1" s="1"/>
  <c r="J35" i="1"/>
  <c r="M35" i="1" s="1"/>
  <c r="N35" i="1" s="1"/>
  <c r="J36" i="1"/>
  <c r="M36" i="1" s="1"/>
  <c r="N36" i="1" s="1"/>
  <c r="J37" i="1"/>
  <c r="K37" i="1" s="1"/>
  <c r="J38" i="1"/>
  <c r="M38" i="1" s="1"/>
  <c r="N38" i="1" s="1"/>
  <c r="J39" i="1"/>
  <c r="K39" i="1" s="1"/>
  <c r="I33" i="1"/>
  <c r="I34" i="1"/>
  <c r="I35" i="1"/>
  <c r="I36" i="1"/>
  <c r="H33" i="1"/>
  <c r="H34" i="1"/>
  <c r="B36" i="2"/>
  <c r="B35" i="2"/>
  <c r="B31" i="2"/>
  <c r="B29" i="2"/>
  <c r="B27" i="2"/>
  <c r="B25" i="2"/>
  <c r="E13" i="2"/>
  <c r="G9" i="1"/>
  <c r="G8" i="1"/>
  <c r="J43" i="1"/>
  <c r="M43" i="1" s="1"/>
  <c r="N43" i="1" s="1"/>
  <c r="J42" i="1"/>
  <c r="K42" i="1" s="1"/>
  <c r="J41" i="1"/>
  <c r="K41" i="1" s="1"/>
  <c r="J40" i="1"/>
  <c r="M40" i="1" s="1"/>
  <c r="N40" i="1" s="1"/>
  <c r="J31" i="1"/>
  <c r="M31" i="1" s="1"/>
  <c r="N31" i="1" s="1"/>
  <c r="J30" i="1"/>
  <c r="K30" i="1" s="1"/>
  <c r="J29" i="1"/>
  <c r="M29" i="1" s="1"/>
  <c r="N29" i="1" s="1"/>
  <c r="J28" i="1"/>
  <c r="K28" i="1" s="1"/>
  <c r="J27" i="1"/>
  <c r="K27" i="1" s="1"/>
  <c r="J26" i="1"/>
  <c r="K26" i="1" s="1"/>
  <c r="K35" i="1"/>
  <c r="M41" i="1"/>
  <c r="N41" i="1" s="1"/>
  <c r="I29" i="1"/>
  <c r="I27" i="1"/>
  <c r="I28" i="1"/>
  <c r="I30" i="1"/>
  <c r="I31" i="1"/>
  <c r="I32" i="1"/>
  <c r="I37" i="1"/>
  <c r="I38" i="1"/>
  <c r="I39" i="1"/>
  <c r="I40" i="1"/>
  <c r="I41" i="1"/>
  <c r="I42" i="1"/>
  <c r="I43" i="1"/>
  <c r="I26" i="1"/>
  <c r="H27" i="1"/>
  <c r="H28" i="1"/>
  <c r="H29" i="1"/>
  <c r="H30" i="1"/>
  <c r="H31" i="1"/>
  <c r="H32" i="1"/>
  <c r="H35" i="1"/>
  <c r="H36" i="1"/>
  <c r="H37" i="1"/>
  <c r="H38" i="1"/>
  <c r="H39" i="1"/>
  <c r="H40" i="1"/>
  <c r="H41" i="1"/>
  <c r="H42" i="1"/>
  <c r="H43" i="1"/>
  <c r="H26" i="1"/>
  <c r="K40" i="1" l="1"/>
  <c r="K36" i="1"/>
  <c r="K34" i="1"/>
  <c r="M37" i="1"/>
  <c r="N37" i="1" s="1"/>
  <c r="M42" i="1"/>
  <c r="N42" i="1" s="1"/>
  <c r="K38" i="1"/>
  <c r="K43" i="1"/>
  <c r="K29" i="1"/>
  <c r="K32" i="1"/>
  <c r="K31" i="1"/>
  <c r="M39" i="1"/>
  <c r="N39" i="1" s="1"/>
  <c r="M30" i="1"/>
  <c r="N30" i="1" s="1"/>
  <c r="M33" i="1"/>
  <c r="N33" i="1" s="1"/>
  <c r="M27" i="1"/>
  <c r="N27" i="1" s="1"/>
  <c r="M28" i="1"/>
  <c r="N28" i="1" s="1"/>
  <c r="M26" i="1"/>
  <c r="N26" i="1" s="1"/>
  <c r="G7" i="1" l="1"/>
  <c r="G11" i="1" s="1"/>
  <c r="G6" i="1"/>
  <c r="G10" i="1" l="1"/>
</calcChain>
</file>

<file path=xl/sharedStrings.xml><?xml version="1.0" encoding="utf-8"?>
<sst xmlns="http://schemas.openxmlformats.org/spreadsheetml/2006/main" count="122" uniqueCount="97">
  <si>
    <t>Yes</t>
  </si>
  <si>
    <t>Country</t>
  </si>
  <si>
    <t xml:space="preserve">Unannounced Product? </t>
  </si>
  <si>
    <t>(YES OR NO)</t>
  </si>
  <si>
    <t>QUESTIONS</t>
  </si>
  <si>
    <t>Customer Information</t>
  </si>
  <si>
    <t>Name</t>
  </si>
  <si>
    <t>Channel</t>
  </si>
  <si>
    <t>SPECIAL BID REQUEST FORM</t>
  </si>
  <si>
    <t>Estimated Close Date</t>
  </si>
  <si>
    <t>Description</t>
  </si>
  <si>
    <t>PN</t>
  </si>
  <si>
    <t>Points</t>
  </si>
  <si>
    <t>Qty</t>
  </si>
  <si>
    <t>Total Revenue / Discount Information</t>
  </si>
  <si>
    <t>Channel Price US$</t>
  </si>
  <si>
    <t>Customer Price US$</t>
  </si>
  <si>
    <t>BL Revenue US$</t>
  </si>
  <si>
    <t>RSVP Revenue US$</t>
  </si>
  <si>
    <t>Discount of BL %</t>
  </si>
  <si>
    <t>Discount of RSVP %</t>
  </si>
  <si>
    <t>Have similar deals</t>
  </si>
  <si>
    <t xml:space="preserve">been presented to </t>
  </si>
  <si>
    <t>customer?</t>
  </si>
  <si>
    <t>RSVP</t>
  </si>
  <si>
    <t>Instructions</t>
  </si>
  <si>
    <t xml:space="preserve">Is This Bid Part of a </t>
  </si>
  <si>
    <t>LargerTotal Solution?</t>
  </si>
  <si>
    <t>(ELA, Hdwr,Services, other SWR?)</t>
  </si>
  <si>
    <t>Exhibit</t>
  </si>
  <si>
    <t>BID SUMMARY - Answer questions below in english (mark N/A if it does not apply)</t>
  </si>
  <si>
    <t>No</t>
  </si>
  <si>
    <t>GOE Questions</t>
  </si>
  <si>
    <t>ONLY FOR  APPLIANCES.</t>
  </si>
  <si>
    <t xml:space="preserve">TYPE </t>
  </si>
  <si>
    <t xml:space="preserve">MODEL </t>
  </si>
  <si>
    <t xml:space="preserve">SERIAL </t>
  </si>
  <si>
    <t>Argentina</t>
  </si>
  <si>
    <t>Bolivia</t>
  </si>
  <si>
    <t>Belize</t>
  </si>
  <si>
    <t>Chile</t>
  </si>
  <si>
    <t>Colombia</t>
  </si>
  <si>
    <t>Costa Rica</t>
  </si>
  <si>
    <t>Republica Dominicana</t>
  </si>
  <si>
    <t>Ecuador</t>
  </si>
  <si>
    <t>Guatemala</t>
  </si>
  <si>
    <t>Honduras</t>
  </si>
  <si>
    <t>Mexico</t>
  </si>
  <si>
    <t>Panama</t>
  </si>
  <si>
    <t>Peru</t>
  </si>
  <si>
    <t>Paraguai</t>
  </si>
  <si>
    <t>El Salvador</t>
  </si>
  <si>
    <t>Uruguai</t>
  </si>
  <si>
    <t>Venezuela</t>
  </si>
  <si>
    <t>Customer Situation/Requirements (highlight also if there is prior bid offering for same price/products to the customer)?</t>
  </si>
  <si>
    <t>Discount and T&amp;C's Justification?</t>
  </si>
  <si>
    <t>Competition position?</t>
  </si>
  <si>
    <t>IBM Business Risk if bid is not agreed?</t>
  </si>
  <si>
    <t>Deal Supporters?</t>
  </si>
  <si>
    <t>Does this quote have Non-standard T&amp;Cs that require a signed addendum? If Yes, provide a signed addendum when submitting the Order.</t>
  </si>
  <si>
    <t xml:space="preserve"> Is this quote a result of a Compliance settlement?</t>
  </si>
  <si>
    <t>Is this a renewal - extension for a SaaS -or- Subscription license (SL)?</t>
  </si>
  <si>
    <t>Is this a Renewal or Reinstatement quote?</t>
  </si>
  <si>
    <t>Is this a quote where support will go through a Primary Support Provider, a Support Providing Partner, or an Engagement Support Provider?</t>
  </si>
  <si>
    <t>Site Number</t>
  </si>
  <si>
    <t>All PNs and Qty, should be inputted before list prices.</t>
  </si>
  <si>
    <t>Input Coverage Dates in format DD/MM/AAAA</t>
  </si>
  <si>
    <t>Make sure to confirm the Exhibit is correct/updated</t>
  </si>
  <si>
    <t>RTD Available</t>
  </si>
  <si>
    <t>Manual Bid</t>
  </si>
  <si>
    <t>End Cvg Date</t>
  </si>
  <si>
    <t>Begin Cvg Date</t>
  </si>
  <si>
    <t>Price Unit U$</t>
  </si>
  <si>
    <t>Price Total U$</t>
  </si>
  <si>
    <t>Disc off RSVP</t>
  </si>
  <si>
    <t>Disc off BL</t>
  </si>
  <si>
    <t>USBP Special</t>
  </si>
  <si>
    <t>USBP BL</t>
  </si>
  <si>
    <t>Comments (Optional)</t>
  </si>
  <si>
    <r>
      <t>Country</t>
    </r>
    <r>
      <rPr>
        <b/>
        <sz val="12"/>
        <color indexed="10"/>
        <rFont val="Arial Black"/>
        <family val="2"/>
      </rPr>
      <t>*</t>
    </r>
  </si>
  <si>
    <r>
      <t>Customer Name</t>
    </r>
    <r>
      <rPr>
        <b/>
        <sz val="12"/>
        <color indexed="10"/>
        <rFont val="Arial Black"/>
        <family val="2"/>
      </rPr>
      <t>*</t>
    </r>
  </si>
  <si>
    <r>
      <t>Customer Site Number</t>
    </r>
    <r>
      <rPr>
        <b/>
        <sz val="12"/>
        <color indexed="10"/>
        <rFont val="Arial Black"/>
        <family val="2"/>
      </rPr>
      <t>*</t>
    </r>
  </si>
  <si>
    <r>
      <t>Distributor Name</t>
    </r>
    <r>
      <rPr>
        <b/>
        <sz val="12"/>
        <color indexed="10"/>
        <rFont val="Arial Black"/>
        <family val="2"/>
      </rPr>
      <t>*</t>
    </r>
  </si>
  <si>
    <r>
      <t>Reseller Name</t>
    </r>
    <r>
      <rPr>
        <b/>
        <sz val="12"/>
        <color indexed="10"/>
        <rFont val="Arial Black"/>
        <family val="2"/>
      </rPr>
      <t>*</t>
    </r>
  </si>
  <si>
    <r>
      <t>Reseller Site Number</t>
    </r>
    <r>
      <rPr>
        <b/>
        <sz val="12"/>
        <color indexed="10"/>
        <rFont val="Arial Black"/>
        <family val="2"/>
      </rPr>
      <t>*</t>
    </r>
  </si>
  <si>
    <r>
      <t>RTD Available or Manual Bid?</t>
    </r>
    <r>
      <rPr>
        <b/>
        <sz val="12"/>
        <color indexed="10"/>
        <rFont val="Arial Black"/>
        <family val="2"/>
      </rPr>
      <t>*</t>
    </r>
  </si>
  <si>
    <r>
      <t>RTD Number (Mandatory if RTD Available)</t>
    </r>
    <r>
      <rPr>
        <b/>
        <sz val="12"/>
        <color indexed="10"/>
        <rFont val="Arial Black"/>
        <family val="2"/>
      </rPr>
      <t>*</t>
    </r>
  </si>
  <si>
    <t>Passport Advantage Agreement # (Optional)</t>
  </si>
  <si>
    <t>Complete the information from "Factsheet" tab first</t>
  </si>
  <si>
    <t>Uplift</t>
  </si>
  <si>
    <t xml:space="preserve">Will any party in the Route-to-market receive or pay a lead passing or marketing fee, referral or finder fee, or any type of contingency fee in connection with this transaction? If answer is yes, please read additional information and instructions. </t>
  </si>
  <si>
    <t>If this transaction is selected for review, select yes if you prefer to provide customer order documentation before the order is fulfilled. Select No if you prefer to provide the customer order documentation after the order is fulfilled.</t>
  </si>
  <si>
    <t xml:space="preserve">Is this a sole source procurement? Is this a new bid (not amendment/renewal/umbrella agreement) where customer invited only one partner and no competition (may be called Direct Award or Closed Invitation)? If yes, read additional info and instructions.   </t>
  </si>
  <si>
    <t>Is the Customer-Facing Partner (CFP) located in a different country than the customer or will the customer make payment to the CFP in a different country than the customer? If answer is yes, please read additional information and instructions.</t>
  </si>
  <si>
    <t xml:space="preserve">Is there a Confidentiality obligation or Non-Disclosure Agreement or other reason that any party in the Route-to-market will object to IBM auditing the transaction? If answer is yes, please read additional information and instructions.  </t>
  </si>
  <si>
    <t xml:space="preserve">Will the Route-to-market (RTM) be different than "Distributor to Customer-Facing Partner to customer" or include any party who is not authorized to sell requested products? If answer is yes, please read additional information and instructions. </t>
  </si>
  <si>
    <t>Updated Feb,23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</si>
</sst>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000"/>
    <numFmt numFmtId="166" formatCode="#,##0.000000"/>
    <numFmt numFmtId="167" formatCode="0.0%"/>
    <numFmt numFmtId="168" formatCode="#,##0.00000"/>
    <numFmt numFmtId="169" formatCode="[$-409]dd\-mmm\-yy;@"/>
    <numFmt numFmtId="170" formatCode="[$-409]d\-mmm\-yyyy;@"/>
  </numFmts>
  <fonts count="38" x14ac:knownFonts="1">
    <font>
      <sz val="12"/>
      <name val="Arial"/>
    </font>
    <font>
      <sz val="12"/>
      <name val="Arial"/>
      <family val="2"/>
    </font>
    <font>
      <b/>
      <sz val="12"/>
      <name val="Arial"/>
      <family val="2"/>
    </font>
    <font>
      <sz val="12"/>
      <name val="Arial"/>
      <family val="2"/>
    </font>
    <font>
      <b/>
      <sz val="12"/>
      <color indexed="17"/>
      <name val="Arial"/>
      <family val="2"/>
    </font>
    <font>
      <b/>
      <sz val="12"/>
      <color indexed="12"/>
      <name val="Arial"/>
      <family val="2"/>
    </font>
    <font>
      <b/>
      <sz val="12"/>
      <color indexed="8"/>
      <name val="Arial"/>
      <family val="2"/>
    </font>
    <font>
      <sz val="10"/>
      <color indexed="29"/>
      <name val="Arial"/>
      <family val="2"/>
    </font>
    <font>
      <b/>
      <u/>
      <sz val="12"/>
      <color indexed="18"/>
      <name val="Arial"/>
      <family val="2"/>
    </font>
    <font>
      <b/>
      <sz val="12"/>
      <color indexed="10"/>
      <name val="Arial"/>
      <family val="2"/>
    </font>
    <font>
      <i/>
      <sz val="10"/>
      <color indexed="16"/>
      <name val="Arial"/>
      <family val="2"/>
    </font>
    <font>
      <sz val="12"/>
      <color indexed="8"/>
      <name val="Arial"/>
      <family val="2"/>
    </font>
    <font>
      <b/>
      <sz val="14"/>
      <color indexed="17"/>
      <name val="Arial"/>
      <family val="2"/>
    </font>
    <font>
      <sz val="11"/>
      <color indexed="8"/>
      <name val="Arial Narrow"/>
      <family val="2"/>
    </font>
    <font>
      <sz val="11"/>
      <name val="Arial Narrow"/>
      <family val="2"/>
    </font>
    <font>
      <sz val="12"/>
      <color indexed="10"/>
      <name val="Arial Narrow"/>
      <family val="2"/>
    </font>
    <font>
      <sz val="12"/>
      <name val="Arial"/>
      <family val="2"/>
    </font>
    <font>
      <sz val="8"/>
      <name val="Arial"/>
      <family val="2"/>
    </font>
    <font>
      <b/>
      <sz val="10"/>
      <color indexed="8"/>
      <name val="Arial"/>
      <family val="2"/>
    </font>
    <font>
      <sz val="12"/>
      <name val="Arial Black"/>
      <family val="2"/>
    </font>
    <font>
      <sz val="12"/>
      <color indexed="8"/>
      <name val="Arial Black"/>
      <family val="2"/>
    </font>
    <font>
      <b/>
      <sz val="12"/>
      <color indexed="8"/>
      <name val="Arial Black"/>
      <family val="2"/>
    </font>
    <font>
      <b/>
      <sz val="12"/>
      <name val="Arial Black"/>
      <family val="2"/>
    </font>
    <font>
      <b/>
      <sz val="12"/>
      <color indexed="10"/>
      <name val="Arial Black"/>
      <family val="2"/>
    </font>
    <font>
      <i/>
      <sz val="12"/>
      <name val="Arial Black"/>
      <family val="2"/>
    </font>
    <font>
      <sz val="11"/>
      <color theme="1"/>
      <name val="Calibri"/>
      <family val="2"/>
      <scheme val="minor"/>
    </font>
    <font>
      <sz val="11"/>
      <color theme="1"/>
      <name val="Arial Black"/>
      <family val="2"/>
    </font>
    <font>
      <b/>
      <sz val="18"/>
      <color theme="1"/>
      <name val="Arial Black"/>
      <family val="2"/>
    </font>
    <font>
      <sz val="12"/>
      <color theme="1"/>
      <name val="Arial Black"/>
      <family val="2"/>
    </font>
    <font>
      <sz val="10"/>
      <color theme="1"/>
      <name val="Arial Black"/>
      <family val="2"/>
    </font>
    <font>
      <b/>
      <u/>
      <sz val="22"/>
      <color theme="3" tint="-0.249977111117893"/>
      <name val="Arial Black"/>
      <family val="2"/>
    </font>
    <font>
      <b/>
      <sz val="12"/>
      <color rgb="FFFF0000"/>
      <name val="Arial Black"/>
      <family val="2"/>
    </font>
    <font>
      <b/>
      <sz val="12"/>
      <color rgb="FFFF0000"/>
      <name val="Arial"/>
      <family val="2"/>
    </font>
    <font>
      <sz val="11"/>
      <color rgb="FFFF0000"/>
      <name val="Arial Black"/>
      <family val="2"/>
    </font>
    <font>
      <sz val="12"/>
      <color rgb="FFFF0000"/>
      <name val="Arial Black"/>
      <family val="2"/>
    </font>
    <font>
      <b/>
      <sz val="14"/>
      <color theme="1"/>
      <name val="Arial Black"/>
      <family val="2"/>
    </font>
    <font>
      <b/>
      <sz val="11"/>
      <color rgb="FFFF0000"/>
      <name val="Arial Black"/>
      <family val="2"/>
    </font>
    <font>
      <sz val="12"/>
      <color rgb="FF000000"/>
      <name val="Arial"/>
      <family val="2"/>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7"/>
        <bgColor indexed="64"/>
      </patternFill>
    </fill>
    <fill>
      <patternFill patternType="solid">
        <fgColor indexed="1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BFB97"/>
        <bgColor indexed="64"/>
      </patternFill>
    </fill>
  </fills>
  <borders count="52">
    <border>
      <left/>
      <right/>
      <top/>
      <bottom/>
      <diagonal/>
    </border>
    <border>
      <left style="thin">
        <color indexed="22"/>
      </left>
      <right/>
      <top style="thin">
        <color indexed="22"/>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8"/>
      </left>
      <right/>
      <top style="medium">
        <color indexed="64"/>
      </top>
      <bottom/>
      <diagonal/>
    </border>
    <border>
      <left style="thin">
        <color indexed="8"/>
      </left>
      <right style="medium">
        <color indexed="64"/>
      </right>
      <top style="medium">
        <color indexed="64"/>
      </top>
      <bottom/>
      <diagonal/>
    </border>
    <border>
      <left style="thin">
        <color indexed="8"/>
      </left>
      <right/>
      <top/>
      <bottom/>
      <diagonal/>
    </border>
    <border>
      <left style="thin">
        <color indexed="8"/>
      </left>
      <right style="medium">
        <color indexed="64"/>
      </right>
      <top/>
      <bottom/>
      <diagonal/>
    </border>
    <border>
      <left style="thin">
        <color indexed="8"/>
      </left>
      <right/>
      <top style="medium">
        <color indexed="8"/>
      </top>
      <bottom style="medium">
        <color indexed="64"/>
      </bottom>
      <diagonal/>
    </border>
    <border>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medium">
        <color indexed="64"/>
      </left>
      <right/>
      <top style="medium">
        <color indexed="64"/>
      </top>
      <bottom style="medium">
        <color indexed="64"/>
      </bottom>
      <diagonal/>
    </border>
    <border>
      <left style="thin">
        <color indexed="8"/>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22"/>
      </top>
      <bottom/>
      <diagonal/>
    </border>
    <border>
      <left style="thin">
        <color indexed="22"/>
      </left>
      <right style="medium">
        <color indexed="64"/>
      </right>
      <top style="thin">
        <color indexed="22"/>
      </top>
      <bottom/>
      <diagonal/>
    </border>
    <border>
      <left style="medium">
        <color indexed="64"/>
      </left>
      <right/>
      <top style="thin">
        <color indexed="22"/>
      </top>
      <bottom style="medium">
        <color indexed="64"/>
      </bottom>
      <diagonal/>
    </border>
    <border>
      <left style="thin">
        <color indexed="22"/>
      </left>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style="thin">
        <color indexed="22"/>
      </left>
      <right style="medium">
        <color indexed="64"/>
      </right>
      <top style="medium">
        <color indexed="64"/>
      </top>
      <bottom/>
      <diagonal/>
    </border>
    <border>
      <left style="thin">
        <color indexed="22"/>
      </left>
      <right/>
      <top style="medium">
        <color indexed="64"/>
      </top>
      <bottom/>
      <diagonal/>
    </border>
    <border>
      <left style="medium">
        <color indexed="64"/>
      </left>
      <right style="thick">
        <color indexed="64"/>
      </right>
      <top/>
      <bottom/>
      <diagonal/>
    </border>
    <border>
      <left style="thin">
        <color indexed="8"/>
      </left>
      <right style="thin">
        <color indexed="8"/>
      </right>
      <top style="medium">
        <color indexed="64"/>
      </top>
      <bottom/>
      <diagonal/>
    </border>
    <border>
      <left style="thin">
        <color indexed="8"/>
      </left>
      <right style="thin">
        <color indexed="8"/>
      </right>
      <top/>
      <bottom style="medium">
        <color indexed="64"/>
      </bottom>
      <diagonal/>
    </border>
    <border>
      <left style="medium">
        <color indexed="64"/>
      </left>
      <right style="thin">
        <color indexed="8"/>
      </right>
      <top style="medium">
        <color indexed="64"/>
      </top>
      <bottom/>
      <diagonal/>
    </border>
    <border>
      <left style="medium">
        <color indexed="64"/>
      </left>
      <right style="thin">
        <color indexed="8"/>
      </right>
      <top/>
      <bottom style="medium">
        <color indexed="64"/>
      </bottom>
      <diagonal/>
    </border>
    <border>
      <left/>
      <right style="medium">
        <color indexed="64"/>
      </right>
      <top style="medium">
        <color indexed="64"/>
      </top>
      <bottom style="medium">
        <color indexed="64"/>
      </bottom>
      <diagonal/>
    </border>
    <border>
      <left/>
      <right style="thin">
        <color indexed="8"/>
      </right>
      <top style="medium">
        <color indexed="64"/>
      </top>
      <bottom/>
      <diagonal/>
    </border>
    <border>
      <left/>
      <right style="thin">
        <color indexed="8"/>
      </right>
      <top/>
      <bottom/>
      <diagonal/>
    </border>
    <border>
      <left/>
      <right/>
      <top style="medium">
        <color indexed="64"/>
      </top>
      <bottom style="medium">
        <color indexed="64"/>
      </bottom>
      <diagonal/>
    </border>
    <border>
      <left/>
      <right style="thin">
        <color indexed="8"/>
      </right>
      <top/>
      <bottom style="medium">
        <color indexed="64"/>
      </bottom>
      <diagonal/>
    </border>
    <border>
      <left style="thick">
        <color indexed="64"/>
      </left>
      <right/>
      <top style="medium">
        <color indexed="64"/>
      </top>
      <bottom/>
      <diagonal/>
    </border>
    <border>
      <left style="thick">
        <color indexed="64"/>
      </left>
      <right/>
      <top/>
      <bottom/>
      <diagonal/>
    </border>
    <border>
      <left style="thick">
        <color indexed="64"/>
      </left>
      <right/>
      <top/>
      <bottom style="medium">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right style="medium">
        <color indexed="64"/>
      </right>
      <top style="medium">
        <color indexed="8"/>
      </top>
      <bottom style="medium">
        <color indexed="64"/>
      </bottom>
      <diagonal/>
    </border>
    <border>
      <left style="medium">
        <color indexed="64"/>
      </left>
      <right/>
      <top style="medium">
        <color indexed="8"/>
      </top>
      <bottom style="medium">
        <color indexed="64"/>
      </bottom>
      <diagonal/>
    </border>
    <border>
      <left style="medium">
        <color indexed="64"/>
      </left>
      <right/>
      <top style="medium">
        <color indexed="8"/>
      </top>
      <bottom/>
      <diagonal/>
    </border>
    <border>
      <left/>
      <right/>
      <top style="medium">
        <color indexed="8"/>
      </top>
      <bottom/>
      <diagonal/>
    </border>
    <border>
      <left/>
      <right style="medium">
        <color indexed="64"/>
      </right>
      <top style="medium">
        <color indexed="8"/>
      </top>
      <bottom/>
      <diagonal/>
    </border>
    <border>
      <left/>
      <right style="thin">
        <color indexed="8"/>
      </right>
      <top style="medium">
        <color indexed="8"/>
      </top>
      <bottom style="medium">
        <color indexed="64"/>
      </bottom>
      <diagonal/>
    </border>
  </borders>
  <cellStyleXfs count="5">
    <xf numFmtId="0" fontId="0" fillId="0" borderId="0"/>
    <xf numFmtId="164" fontId="16" fillId="0" borderId="0" applyFont="0" applyFill="0" applyBorder="0" applyAlignment="0" applyProtection="0"/>
    <xf numFmtId="164" fontId="25" fillId="0" borderId="0" applyFont="0" applyFill="0" applyBorder="0" applyAlignment="0" applyProtection="0"/>
    <xf numFmtId="0" fontId="25" fillId="0" borderId="0"/>
    <xf numFmtId="9" fontId="16" fillId="0" borderId="0" applyFont="0" applyFill="0" applyBorder="0" applyAlignment="0" applyProtection="0"/>
  </cellStyleXfs>
  <cellXfs count="272">
    <xf numFmtId="0" fontId="0" fillId="0" borderId="0" xfId="0"/>
    <xf numFmtId="0" fontId="1" fillId="0" borderId="0" xfId="0" applyFont="1"/>
    <xf numFmtId="4" fontId="1" fillId="0" borderId="0" xfId="0" applyNumberFormat="1" applyFont="1"/>
    <xf numFmtId="10" fontId="1" fillId="0" borderId="0" xfId="0" applyNumberFormat="1" applyFont="1"/>
    <xf numFmtId="3" fontId="1" fillId="0" borderId="0" xfId="0" applyNumberFormat="1" applyFont="1"/>
    <xf numFmtId="9" fontId="1" fillId="0" borderId="0" xfId="0" applyNumberFormat="1" applyFont="1"/>
    <xf numFmtId="10" fontId="2" fillId="2" borderId="0" xfId="0" applyNumberFormat="1" applyFont="1" applyFill="1" applyAlignment="1">
      <alignment horizontal="centerContinuous"/>
    </xf>
    <xf numFmtId="10" fontId="5" fillId="2" borderId="0" xfId="0" applyNumberFormat="1" applyFont="1" applyFill="1"/>
    <xf numFmtId="10" fontId="3" fillId="2" borderId="0" xfId="0" applyNumberFormat="1" applyFont="1" applyFill="1"/>
    <xf numFmtId="4" fontId="10" fillId="0" borderId="0" xfId="0" applyNumberFormat="1" applyFont="1"/>
    <xf numFmtId="165" fontId="1" fillId="0" borderId="0" xfId="0" applyNumberFormat="1" applyFont="1"/>
    <xf numFmtId="168" fontId="1" fillId="0" borderId="0" xfId="0" applyNumberFormat="1" applyFont="1"/>
    <xf numFmtId="10" fontId="3" fillId="0" borderId="0" xfId="0" applyNumberFormat="1" applyFont="1"/>
    <xf numFmtId="167" fontId="1" fillId="0" borderId="1" xfId="0" applyNumberFormat="1" applyFont="1" applyBorder="1"/>
    <xf numFmtId="4" fontId="1" fillId="0" borderId="1" xfId="0" applyNumberFormat="1" applyFont="1" applyBorder="1"/>
    <xf numFmtId="0" fontId="12" fillId="0" borderId="0" xfId="0" applyFont="1" applyAlignment="1">
      <alignment horizontal="centerContinuous"/>
    </xf>
    <xf numFmtId="0" fontId="2" fillId="3" borderId="2" xfId="0" applyFont="1" applyFill="1" applyBorder="1" applyAlignment="1">
      <alignment horizontal="center"/>
    </xf>
    <xf numFmtId="0" fontId="3" fillId="3" borderId="3" xfId="0" applyFont="1" applyFill="1" applyBorder="1"/>
    <xf numFmtId="0" fontId="2" fillId="3" borderId="2" xfId="0" applyFont="1" applyFill="1" applyBorder="1" applyAlignment="1">
      <alignment horizontal="centerContinuous"/>
    </xf>
    <xf numFmtId="0" fontId="3" fillId="3" borderId="4" xfId="0" applyFont="1" applyFill="1" applyBorder="1" applyAlignment="1">
      <alignment horizontal="centerContinuous"/>
    </xf>
    <xf numFmtId="0" fontId="3" fillId="3" borderId="5" xfId="0" applyFont="1" applyFill="1" applyBorder="1" applyAlignment="1">
      <alignment horizontal="centerContinuous"/>
    </xf>
    <xf numFmtId="169" fontId="1" fillId="0" borderId="0" xfId="0" applyNumberFormat="1" applyFont="1"/>
    <xf numFmtId="0" fontId="1" fillId="0" borderId="0" xfId="0" applyFont="1" applyAlignment="1">
      <alignment horizontal="center"/>
    </xf>
    <xf numFmtId="0" fontId="13" fillId="0" borderId="0" xfId="0" applyFont="1"/>
    <xf numFmtId="0" fontId="14" fillId="0" borderId="6" xfId="0" applyFont="1" applyBorder="1"/>
    <xf numFmtId="0" fontId="13" fillId="0" borderId="6" xfId="0" applyFont="1" applyBorder="1"/>
    <xf numFmtId="0" fontId="12" fillId="0" borderId="0" xfId="0" applyFont="1" applyAlignment="1">
      <alignment horizontal="center"/>
    </xf>
    <xf numFmtId="0" fontId="26" fillId="3" borderId="4" xfId="0" applyFont="1" applyFill="1" applyBorder="1"/>
    <xf numFmtId="0" fontId="27" fillId="3" borderId="5" xfId="0" applyFont="1" applyFill="1" applyBorder="1" applyAlignment="1">
      <alignment horizontal="center"/>
    </xf>
    <xf numFmtId="0" fontId="28" fillId="4" borderId="7" xfId="0" applyFont="1" applyFill="1" applyBorder="1" applyAlignment="1" applyProtection="1">
      <alignment vertical="center" wrapText="1"/>
      <protection locked="0"/>
    </xf>
    <xf numFmtId="0" fontId="26" fillId="3" borderId="0" xfId="0" applyFont="1" applyFill="1"/>
    <xf numFmtId="0" fontId="28" fillId="3" borderId="8" xfId="0" applyFont="1" applyFill="1" applyBorder="1" applyAlignment="1">
      <alignment vertical="center" wrapText="1"/>
    </xf>
    <xf numFmtId="0" fontId="28" fillId="3" borderId="8" xfId="0" applyFont="1" applyFill="1" applyBorder="1" applyAlignment="1">
      <alignment horizontal="left" vertical="center" wrapText="1"/>
    </xf>
    <xf numFmtId="0" fontId="28" fillId="4" borderId="7" xfId="0" applyFont="1" applyFill="1" applyBorder="1" applyAlignment="1" applyProtection="1">
      <alignment vertical="center"/>
      <protection locked="0"/>
    </xf>
    <xf numFmtId="0" fontId="28" fillId="3" borderId="8" xfId="0" applyFont="1" applyFill="1" applyBorder="1" applyAlignment="1">
      <alignment horizontal="left" vertical="center"/>
    </xf>
    <xf numFmtId="0" fontId="29" fillId="3" borderId="0" xfId="0" applyFont="1" applyFill="1"/>
    <xf numFmtId="0" fontId="26" fillId="3" borderId="6" xfId="0" applyFont="1" applyFill="1" applyBorder="1"/>
    <xf numFmtId="0" fontId="28" fillId="6" borderId="0" xfId="0" applyFont="1" applyFill="1" applyAlignment="1">
      <alignment horizontal="center" wrapText="1"/>
    </xf>
    <xf numFmtId="0" fontId="29" fillId="3" borderId="3" xfId="0" applyFont="1" applyFill="1" applyBorder="1"/>
    <xf numFmtId="0" fontId="26" fillId="3" borderId="9" xfId="0" applyFont="1" applyFill="1" applyBorder="1"/>
    <xf numFmtId="0" fontId="29" fillId="3" borderId="9" xfId="0" applyFont="1" applyFill="1" applyBorder="1"/>
    <xf numFmtId="0" fontId="28" fillId="6" borderId="9" xfId="0" applyFont="1" applyFill="1" applyBorder="1" applyAlignment="1">
      <alignment horizontal="center" wrapText="1"/>
    </xf>
    <xf numFmtId="0" fontId="28" fillId="6" borderId="10" xfId="0" applyFont="1" applyFill="1" applyBorder="1"/>
    <xf numFmtId="0" fontId="19" fillId="0" borderId="6" xfId="0" applyFont="1" applyBorder="1" applyProtection="1">
      <protection locked="0"/>
    </xf>
    <xf numFmtId="0" fontId="19" fillId="0" borderId="0" xfId="0" applyFont="1" applyProtection="1">
      <protection locked="0"/>
    </xf>
    <xf numFmtId="0" fontId="19" fillId="0" borderId="8" xfId="0" applyFont="1" applyBorder="1" applyProtection="1">
      <protection locked="0"/>
    </xf>
    <xf numFmtId="0" fontId="21" fillId="5" borderId="2" xfId="0" applyFont="1" applyFill="1" applyBorder="1" applyProtection="1">
      <protection locked="0"/>
    </xf>
    <xf numFmtId="0" fontId="20" fillId="5" borderId="4" xfId="0" applyFont="1" applyFill="1" applyBorder="1" applyProtection="1">
      <protection locked="0"/>
    </xf>
    <xf numFmtId="0" fontId="21" fillId="5" borderId="11" xfId="0" applyFont="1" applyFill="1" applyBorder="1" applyProtection="1">
      <protection locked="0"/>
    </xf>
    <xf numFmtId="0" fontId="21" fillId="5" borderId="4" xfId="0" applyFont="1" applyFill="1" applyBorder="1" applyProtection="1">
      <protection locked="0"/>
    </xf>
    <xf numFmtId="0" fontId="21" fillId="5" borderId="12" xfId="0" applyFont="1" applyFill="1" applyBorder="1" applyProtection="1">
      <protection locked="0"/>
    </xf>
    <xf numFmtId="0" fontId="21" fillId="5" borderId="6" xfId="0" applyFont="1" applyFill="1" applyBorder="1" applyProtection="1">
      <protection locked="0"/>
    </xf>
    <xf numFmtId="0" fontId="20" fillId="5" borderId="0" xfId="0" applyFont="1" applyFill="1" applyProtection="1">
      <protection locked="0"/>
    </xf>
    <xf numFmtId="0" fontId="21" fillId="5" borderId="13" xfId="0" applyFont="1" applyFill="1" applyBorder="1" applyProtection="1">
      <protection locked="0"/>
    </xf>
    <xf numFmtId="0" fontId="21" fillId="5" borderId="0" xfId="0" applyFont="1" applyFill="1" applyProtection="1">
      <protection locked="0"/>
    </xf>
    <xf numFmtId="0" fontId="21" fillId="5" borderId="14" xfId="0" applyFont="1" applyFill="1" applyBorder="1" applyAlignment="1" applyProtection="1">
      <alignment horizontal="left"/>
      <protection locked="0"/>
    </xf>
    <xf numFmtId="0" fontId="20" fillId="5" borderId="6" xfId="0" applyFont="1" applyFill="1" applyBorder="1" applyProtection="1">
      <protection locked="0"/>
    </xf>
    <xf numFmtId="0" fontId="19" fillId="0" borderId="15" xfId="0" applyFont="1" applyBorder="1" applyAlignment="1" applyProtection="1">
      <alignment horizontal="left"/>
      <protection locked="0"/>
    </xf>
    <xf numFmtId="0" fontId="19" fillId="0" borderId="16" xfId="0" applyFont="1" applyBorder="1" applyAlignment="1" applyProtection="1">
      <alignment horizontal="left"/>
      <protection locked="0"/>
    </xf>
    <xf numFmtId="0" fontId="19" fillId="0" borderId="17" xfId="0" applyFont="1" applyBorder="1" applyAlignment="1" applyProtection="1">
      <alignment horizontal="left"/>
      <protection locked="0"/>
    </xf>
    <xf numFmtId="0" fontId="30" fillId="2" borderId="0" xfId="0" applyFont="1" applyFill="1" applyAlignment="1">
      <alignment horizontal="centerContinuous"/>
    </xf>
    <xf numFmtId="0" fontId="31" fillId="0" borderId="0" xfId="0" applyFont="1" applyAlignment="1">
      <alignment horizontal="center"/>
    </xf>
    <xf numFmtId="4" fontId="5" fillId="0" borderId="0" xfId="0" applyNumberFormat="1" applyFont="1"/>
    <xf numFmtId="4" fontId="2" fillId="0" borderId="0" xfId="0" applyNumberFormat="1" applyFont="1" applyAlignment="1">
      <alignment horizontal="centerContinuous"/>
    </xf>
    <xf numFmtId="164" fontId="6" fillId="0" borderId="0" xfId="1" applyFont="1" applyFill="1" applyBorder="1" applyAlignment="1"/>
    <xf numFmtId="0" fontId="5" fillId="0" borderId="0" xfId="0" applyFont="1"/>
    <xf numFmtId="15" fontId="6" fillId="0" borderId="0" xfId="0" applyNumberFormat="1" applyFont="1" applyAlignment="1" applyProtection="1">
      <alignment horizontal="center"/>
      <protection locked="0"/>
    </xf>
    <xf numFmtId="0" fontId="7" fillId="0" borderId="0" xfId="0" applyFont="1" applyAlignment="1" applyProtection="1">
      <alignment horizontal="center"/>
      <protection locked="0"/>
    </xf>
    <xf numFmtId="0" fontId="2" fillId="0" borderId="0" xfId="0" applyFont="1" applyAlignment="1">
      <alignment horizontal="centerContinuous"/>
    </xf>
    <xf numFmtId="0" fontId="18" fillId="0" borderId="0" xfId="0" applyFont="1" applyProtection="1">
      <protection locked="0"/>
    </xf>
    <xf numFmtId="4" fontId="3" fillId="0" borderId="0" xfId="0" applyNumberFormat="1" applyFont="1" applyAlignment="1">
      <alignment horizontal="centerContinuous"/>
    </xf>
    <xf numFmtId="0" fontId="1" fillId="0" borderId="0" xfId="0" applyFont="1" applyAlignment="1">
      <alignment horizontal="centerContinuous"/>
    </xf>
    <xf numFmtId="0" fontId="9" fillId="0" borderId="0" xfId="0" applyFont="1"/>
    <xf numFmtId="4" fontId="2" fillId="0" borderId="0" xfId="0" applyNumberFormat="1" applyFont="1" applyAlignment="1">
      <alignment horizontal="center"/>
    </xf>
    <xf numFmtId="3" fontId="5" fillId="0" borderId="0" xfId="0" applyNumberFormat="1" applyFont="1" applyAlignment="1">
      <alignment horizontal="left"/>
    </xf>
    <xf numFmtId="167" fontId="9" fillId="0" borderId="0" xfId="0" applyNumberFormat="1" applyFont="1" applyAlignment="1">
      <alignment horizontal="right"/>
    </xf>
    <xf numFmtId="0" fontId="11" fillId="0" borderId="0" xfId="0" applyFont="1"/>
    <xf numFmtId="9" fontId="11" fillId="0" borderId="0" xfId="4" applyFont="1" applyFill="1" applyBorder="1"/>
    <xf numFmtId="3" fontId="4" fillId="0" borderId="0" xfId="0" applyNumberFormat="1" applyFont="1" applyAlignment="1">
      <alignment horizontal="centerContinuous"/>
    </xf>
    <xf numFmtId="9" fontId="3" fillId="0" borderId="0" xfId="0" applyNumberFormat="1" applyFont="1" applyAlignment="1">
      <alignment horizontal="centerContinuous"/>
    </xf>
    <xf numFmtId="3" fontId="8" fillId="0" borderId="0" xfId="0" applyNumberFormat="1" applyFont="1"/>
    <xf numFmtId="4" fontId="8" fillId="0" borderId="0" xfId="0" applyNumberFormat="1" applyFont="1" applyAlignment="1">
      <alignment horizontal="center"/>
    </xf>
    <xf numFmtId="9" fontId="8" fillId="0" borderId="0" xfId="0" applyNumberFormat="1" applyFont="1" applyAlignment="1">
      <alignment horizontal="center"/>
    </xf>
    <xf numFmtId="3" fontId="2" fillId="0" borderId="0" xfId="0" applyNumberFormat="1" applyFont="1" applyAlignment="1">
      <alignment horizontal="left"/>
    </xf>
    <xf numFmtId="10" fontId="2" fillId="0" borderId="0" xfId="0" applyNumberFormat="1" applyFont="1" applyAlignment="1">
      <alignment horizontal="center"/>
    </xf>
    <xf numFmtId="166" fontId="1" fillId="0" borderId="0" xfId="0" applyNumberFormat="1" applyFont="1"/>
    <xf numFmtId="3" fontId="6" fillId="0" borderId="0" xfId="0" applyNumberFormat="1" applyFont="1"/>
    <xf numFmtId="4" fontId="6" fillId="0" borderId="0" xfId="0" applyNumberFormat="1" applyFont="1"/>
    <xf numFmtId="9" fontId="6" fillId="0" borderId="0" xfId="0" applyNumberFormat="1" applyFont="1"/>
    <xf numFmtId="0" fontId="2" fillId="3" borderId="6" xfId="0" applyFont="1" applyFill="1" applyBorder="1"/>
    <xf numFmtId="0" fontId="2" fillId="3" borderId="3" xfId="0" applyFont="1" applyFill="1" applyBorder="1"/>
    <xf numFmtId="4" fontId="2" fillId="0" borderId="14" xfId="0" applyNumberFormat="1" applyFont="1" applyBorder="1" applyAlignment="1">
      <alignment horizontal="right"/>
    </xf>
    <xf numFmtId="4" fontId="1" fillId="0" borderId="14" xfId="0" applyNumberFormat="1" applyFont="1" applyBorder="1" applyAlignment="1">
      <alignment horizontal="right"/>
    </xf>
    <xf numFmtId="167" fontId="2" fillId="0" borderId="14" xfId="0" applyNumberFormat="1" applyFont="1" applyBorder="1" applyAlignment="1">
      <alignment horizontal="right"/>
    </xf>
    <xf numFmtId="4" fontId="2" fillId="3" borderId="18" xfId="0" applyNumberFormat="1" applyFont="1" applyFill="1" applyBorder="1"/>
    <xf numFmtId="4" fontId="2" fillId="0" borderId="12" xfId="0" applyNumberFormat="1" applyFont="1" applyBorder="1" applyAlignment="1">
      <alignment horizontal="right"/>
    </xf>
    <xf numFmtId="167" fontId="2" fillId="0" borderId="19" xfId="0" applyNumberFormat="1" applyFont="1" applyBorder="1" applyAlignment="1">
      <alignment horizontal="right"/>
    </xf>
    <xf numFmtId="0" fontId="6" fillId="0" borderId="20"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2" fillId="0" borderId="0" xfId="0" applyFont="1" applyAlignment="1">
      <alignment vertical="center"/>
    </xf>
    <xf numFmtId="0" fontId="11" fillId="7" borderId="1" xfId="0" applyFont="1" applyFill="1" applyBorder="1" applyAlignment="1" applyProtection="1">
      <alignment horizontal="center"/>
      <protection locked="0"/>
    </xf>
    <xf numFmtId="4" fontId="11" fillId="7" borderId="1" xfId="0" applyNumberFormat="1" applyFont="1" applyFill="1" applyBorder="1" applyProtection="1">
      <protection locked="0"/>
    </xf>
    <xf numFmtId="4" fontId="11" fillId="7" borderId="23" xfId="0" applyNumberFormat="1" applyFont="1" applyFill="1" applyBorder="1" applyProtection="1">
      <protection locked="0"/>
    </xf>
    <xf numFmtId="4" fontId="11" fillId="7" borderId="24" xfId="0" applyNumberFormat="1" applyFont="1" applyFill="1" applyBorder="1" applyProtection="1">
      <protection locked="0"/>
    </xf>
    <xf numFmtId="4" fontId="11" fillId="7" borderId="25" xfId="0" applyNumberFormat="1" applyFont="1" applyFill="1" applyBorder="1" applyProtection="1">
      <protection locked="0"/>
    </xf>
    <xf numFmtId="4" fontId="11" fillId="7" borderId="26" xfId="0" applyNumberFormat="1" applyFont="1" applyFill="1" applyBorder="1" applyProtection="1">
      <protection locked="0"/>
    </xf>
    <xf numFmtId="4" fontId="11" fillId="7" borderId="27" xfId="0" applyNumberFormat="1" applyFont="1" applyFill="1" applyBorder="1" applyProtection="1">
      <protection locked="0"/>
    </xf>
    <xf numFmtId="170" fontId="11" fillId="7" borderId="2" xfId="0" applyNumberFormat="1" applyFont="1" applyFill="1" applyBorder="1" applyAlignment="1" applyProtection="1">
      <alignment horizontal="right"/>
      <protection locked="0"/>
    </xf>
    <xf numFmtId="170" fontId="1" fillId="7" borderId="28" xfId="0" applyNumberFormat="1" applyFont="1" applyFill="1" applyBorder="1" applyAlignment="1" applyProtection="1">
      <alignment horizontal="right"/>
      <protection locked="0"/>
    </xf>
    <xf numFmtId="170" fontId="11" fillId="7" borderId="23" xfId="0" applyNumberFormat="1" applyFont="1" applyFill="1" applyBorder="1" applyAlignment="1" applyProtection="1">
      <alignment horizontal="right"/>
      <protection locked="0"/>
    </xf>
    <xf numFmtId="170" fontId="1" fillId="7" borderId="24" xfId="0" applyNumberFormat="1" applyFont="1" applyFill="1" applyBorder="1" applyAlignment="1" applyProtection="1">
      <alignment horizontal="right"/>
      <protection locked="0"/>
    </xf>
    <xf numFmtId="170" fontId="11" fillId="7" borderId="25" xfId="0" applyNumberFormat="1" applyFont="1" applyFill="1" applyBorder="1" applyAlignment="1" applyProtection="1">
      <alignment horizontal="right"/>
      <protection locked="0"/>
    </xf>
    <xf numFmtId="170" fontId="1" fillId="7" borderId="27" xfId="0" applyNumberFormat="1" applyFont="1" applyFill="1" applyBorder="1" applyAlignment="1" applyProtection="1">
      <alignment horizontal="right"/>
      <protection locked="0"/>
    </xf>
    <xf numFmtId="10" fontId="6" fillId="7" borderId="7" xfId="0" applyNumberFormat="1" applyFont="1" applyFill="1" applyBorder="1"/>
    <xf numFmtId="0" fontId="11" fillId="7" borderId="29" xfId="0" applyFont="1" applyFill="1" applyBorder="1" applyAlignment="1" applyProtection="1">
      <alignment horizontal="center"/>
      <protection locked="0"/>
    </xf>
    <xf numFmtId="4" fontId="11" fillId="7" borderId="29" xfId="0" applyNumberFormat="1" applyFont="1" applyFill="1" applyBorder="1" applyProtection="1">
      <protection locked="0"/>
    </xf>
    <xf numFmtId="167" fontId="1" fillId="0" borderId="29" xfId="0" applyNumberFormat="1" applyFont="1" applyBorder="1"/>
    <xf numFmtId="4" fontId="1" fillId="0" borderId="29" xfId="0" applyNumberFormat="1" applyFont="1" applyBorder="1"/>
    <xf numFmtId="4" fontId="1" fillId="0" borderId="28" xfId="0" applyNumberFormat="1" applyFont="1" applyBorder="1"/>
    <xf numFmtId="0" fontId="11" fillId="7" borderId="23" xfId="0" applyFont="1" applyFill="1" applyBorder="1" applyAlignment="1" applyProtection="1">
      <alignment horizontal="center" wrapText="1"/>
      <protection locked="0"/>
    </xf>
    <xf numFmtId="4" fontId="1" fillId="0" borderId="24" xfId="0" applyNumberFormat="1" applyFont="1" applyBorder="1"/>
    <xf numFmtId="0" fontId="11" fillId="7" borderId="25" xfId="0" applyFont="1" applyFill="1" applyBorder="1" applyAlignment="1" applyProtection="1">
      <alignment horizontal="center" wrapText="1"/>
      <protection locked="0"/>
    </xf>
    <xf numFmtId="0" fontId="11" fillId="7" borderId="26" xfId="0" applyFont="1" applyFill="1" applyBorder="1" applyAlignment="1" applyProtection="1">
      <alignment horizontal="center"/>
      <protection locked="0"/>
    </xf>
    <xf numFmtId="167" fontId="1" fillId="0" borderId="26" xfId="0" applyNumberFormat="1" applyFont="1" applyBorder="1"/>
    <xf numFmtId="4" fontId="1" fillId="0" borderId="26" xfId="0" applyNumberFormat="1" applyFont="1" applyBorder="1"/>
    <xf numFmtId="4" fontId="1" fillId="0" borderId="27" xfId="0" applyNumberFormat="1" applyFont="1" applyBorder="1"/>
    <xf numFmtId="4" fontId="11" fillId="0" borderId="2" xfId="0" applyNumberFormat="1" applyFont="1" applyBorder="1" applyAlignment="1">
      <alignment horizontal="right"/>
    </xf>
    <xf numFmtId="4" fontId="1" fillId="0" borderId="28" xfId="0" applyNumberFormat="1" applyFont="1" applyBorder="1" applyAlignment="1">
      <alignment horizontal="right"/>
    </xf>
    <xf numFmtId="4" fontId="11" fillId="0" borderId="23" xfId="0" applyNumberFormat="1" applyFont="1" applyBorder="1" applyAlignment="1">
      <alignment horizontal="right"/>
    </xf>
    <xf numFmtId="4" fontId="1" fillId="0" borderId="24" xfId="0" applyNumberFormat="1" applyFont="1" applyBorder="1" applyAlignment="1">
      <alignment horizontal="right"/>
    </xf>
    <xf numFmtId="4" fontId="11" fillId="0" borderId="25" xfId="0" applyNumberFormat="1" applyFont="1" applyBorder="1" applyAlignment="1">
      <alignment horizontal="right"/>
    </xf>
    <xf numFmtId="4" fontId="1" fillId="0" borderId="27" xfId="0" applyNumberFormat="1" applyFont="1" applyBorder="1" applyAlignment="1">
      <alignment horizontal="right"/>
    </xf>
    <xf numFmtId="4" fontId="5" fillId="0" borderId="0" xfId="0" applyNumberFormat="1" applyFont="1" applyAlignment="1">
      <alignment horizontal="center"/>
    </xf>
    <xf numFmtId="4" fontId="3" fillId="0" borderId="0" xfId="0" applyNumberFormat="1" applyFont="1" applyAlignment="1">
      <alignment horizontal="center"/>
    </xf>
    <xf numFmtId="2" fontId="6" fillId="7" borderId="7" xfId="0" applyNumberFormat="1" applyFont="1" applyFill="1" applyBorder="1"/>
    <xf numFmtId="0" fontId="15" fillId="0" borderId="0" xfId="0" applyFont="1"/>
    <xf numFmtId="0" fontId="14" fillId="0" borderId="30" xfId="0" applyFont="1" applyBorder="1"/>
    <xf numFmtId="4" fontId="11" fillId="7" borderId="1" xfId="0" applyNumberFormat="1" applyFont="1" applyFill="1" applyBorder="1" applyAlignment="1" applyProtection="1">
      <alignment wrapText="1"/>
      <protection locked="0"/>
    </xf>
    <xf numFmtId="3" fontId="11" fillId="7" borderId="29" xfId="0" applyNumberFormat="1" applyFont="1" applyFill="1" applyBorder="1" applyAlignment="1" applyProtection="1">
      <alignment horizontal="center"/>
      <protection locked="0"/>
    </xf>
    <xf numFmtId="3" fontId="11" fillId="7" borderId="1" xfId="0" applyNumberFormat="1" applyFont="1" applyFill="1" applyBorder="1" applyAlignment="1" applyProtection="1">
      <alignment horizontal="center"/>
      <protection locked="0"/>
    </xf>
    <xf numFmtId="0" fontId="32" fillId="0" borderId="2"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10" xfId="0" applyFont="1" applyBorder="1" applyAlignment="1">
      <alignment horizontal="center" vertical="center" wrapText="1"/>
    </xf>
    <xf numFmtId="0" fontId="2" fillId="0" borderId="0" xfId="0" applyFont="1" applyAlignment="1">
      <alignment horizontal="center" vertical="center"/>
    </xf>
    <xf numFmtId="0" fontId="2" fillId="6" borderId="22" xfId="0" applyFont="1" applyFill="1" applyBorder="1" applyAlignment="1">
      <alignment horizontal="center" vertical="center" wrapText="1"/>
    </xf>
    <xf numFmtId="0" fontId="2" fillId="6" borderId="21" xfId="0" applyFont="1" applyFill="1" applyBorder="1" applyAlignment="1">
      <alignment horizontal="center" vertical="center" wrapText="1"/>
    </xf>
    <xf numFmtId="3" fontId="2" fillId="0" borderId="6" xfId="0" applyNumberFormat="1" applyFont="1" applyBorder="1" applyAlignment="1">
      <alignment horizontal="center"/>
    </xf>
    <xf numFmtId="3" fontId="2" fillId="0" borderId="37" xfId="0" applyNumberFormat="1" applyFont="1" applyBorder="1" applyAlignment="1">
      <alignment horizontal="center"/>
    </xf>
    <xf numFmtId="0" fontId="2" fillId="3" borderId="18" xfId="0" applyFont="1" applyFill="1" applyBorder="1" applyAlignment="1">
      <alignment horizontal="center"/>
    </xf>
    <xf numFmtId="0" fontId="2" fillId="3" borderId="38" xfId="0" applyFont="1" applyFill="1" applyBorder="1" applyAlignment="1">
      <alignment horizontal="center"/>
    </xf>
    <xf numFmtId="0" fontId="2" fillId="3" borderId="35" xfId="0" applyFont="1" applyFill="1" applyBorder="1" applyAlignment="1">
      <alignment horizontal="center"/>
    </xf>
    <xf numFmtId="3" fontId="2" fillId="2" borderId="6" xfId="0" applyNumberFormat="1" applyFont="1" applyFill="1" applyBorder="1" applyAlignment="1">
      <alignment horizontal="left" vertical="top" wrapText="1"/>
    </xf>
    <xf numFmtId="3" fontId="2" fillId="2" borderId="0" xfId="0" applyNumberFormat="1" applyFont="1" applyFill="1" applyAlignment="1">
      <alignment horizontal="left" vertical="top" wrapText="1"/>
    </xf>
    <xf numFmtId="3" fontId="2" fillId="2" borderId="8" xfId="0" applyNumberFormat="1" applyFont="1" applyFill="1" applyBorder="1" applyAlignment="1">
      <alignment horizontal="left" vertical="top" wrapText="1"/>
    </xf>
    <xf numFmtId="3" fontId="1" fillId="0" borderId="0" xfId="0" applyNumberFormat="1" applyFont="1" applyAlignment="1">
      <alignment horizontal="center"/>
    </xf>
    <xf numFmtId="3" fontId="2" fillId="0" borderId="3" xfId="0" applyNumberFormat="1" applyFont="1" applyBorder="1" applyAlignment="1">
      <alignment horizontal="center"/>
    </xf>
    <xf numFmtId="3" fontId="2" fillId="0" borderId="39" xfId="0" applyNumberFormat="1" applyFont="1" applyBorder="1" applyAlignment="1">
      <alignment horizontal="center"/>
    </xf>
    <xf numFmtId="3" fontId="6" fillId="2" borderId="2" xfId="0" applyNumberFormat="1" applyFont="1" applyFill="1" applyBorder="1" applyAlignment="1">
      <alignment horizontal="left" vertical="top" wrapText="1"/>
    </xf>
    <xf numFmtId="3" fontId="6" fillId="2" borderId="4" xfId="0" applyNumberFormat="1" applyFont="1" applyFill="1" applyBorder="1" applyAlignment="1">
      <alignment horizontal="left" vertical="top" wrapText="1"/>
    </xf>
    <xf numFmtId="3" fontId="6" fillId="2" borderId="5" xfId="0" applyNumberFormat="1" applyFont="1" applyFill="1" applyBorder="1" applyAlignment="1">
      <alignment horizontal="left" vertical="top" wrapText="1"/>
    </xf>
    <xf numFmtId="3" fontId="2" fillId="0" borderId="2" xfId="0" applyNumberFormat="1" applyFont="1" applyBorder="1" applyAlignment="1">
      <alignment horizontal="center"/>
    </xf>
    <xf numFmtId="3" fontId="2" fillId="0" borderId="36" xfId="0" applyNumberFormat="1" applyFont="1" applyBorder="1" applyAlignment="1">
      <alignment horizontal="center"/>
    </xf>
    <xf numFmtId="3" fontId="1" fillId="0" borderId="6" xfId="0" applyNumberFormat="1" applyFont="1" applyBorder="1" applyAlignment="1">
      <alignment horizontal="center"/>
    </xf>
    <xf numFmtId="3" fontId="1" fillId="0" borderId="37" xfId="0" applyNumberFormat="1" applyFont="1" applyBorder="1" applyAlignment="1">
      <alignment horizontal="center"/>
    </xf>
    <xf numFmtId="10" fontId="2" fillId="3" borderId="31" xfId="0" applyNumberFormat="1" applyFont="1" applyFill="1" applyBorder="1" applyAlignment="1">
      <alignment horizontal="center" vertical="center" wrapText="1"/>
    </xf>
    <xf numFmtId="10" fontId="2" fillId="3" borderId="32" xfId="0" applyNumberFormat="1" applyFont="1" applyFill="1" applyBorder="1" applyAlignment="1">
      <alignment horizontal="center" vertical="center" wrapText="1"/>
    </xf>
    <xf numFmtId="4" fontId="2" fillId="3" borderId="2" xfId="0" applyNumberFormat="1" applyFont="1" applyFill="1" applyBorder="1" applyAlignment="1">
      <alignment horizontal="center" vertical="center" wrapText="1"/>
    </xf>
    <xf numFmtId="4" fontId="2" fillId="3" borderId="3" xfId="0" applyNumberFormat="1" applyFont="1" applyFill="1" applyBorder="1" applyAlignment="1">
      <alignment horizontal="center" vertical="center" wrapText="1"/>
    </xf>
    <xf numFmtId="4" fontId="2" fillId="3" borderId="22" xfId="0" applyNumberFormat="1" applyFont="1" applyFill="1" applyBorder="1" applyAlignment="1">
      <alignment horizontal="center" vertical="center"/>
    </xf>
    <xf numFmtId="4" fontId="2" fillId="3" borderId="21" xfId="0" applyNumberFormat="1" applyFont="1" applyFill="1" applyBorder="1" applyAlignment="1">
      <alignment horizontal="center" vertical="center"/>
    </xf>
    <xf numFmtId="4" fontId="2" fillId="3" borderId="12" xfId="0" applyNumberFormat="1" applyFont="1" applyFill="1" applyBorder="1" applyAlignment="1">
      <alignment horizontal="center" vertical="center" wrapText="1"/>
    </xf>
    <xf numFmtId="4" fontId="2" fillId="3" borderId="19" xfId="0" applyNumberFormat="1" applyFont="1" applyFill="1" applyBorder="1" applyAlignment="1">
      <alignment horizontal="center" vertical="center" wrapText="1"/>
    </xf>
    <xf numFmtId="4" fontId="2" fillId="3" borderId="33" xfId="0" applyNumberFormat="1" applyFont="1" applyFill="1" applyBorder="1" applyAlignment="1">
      <alignment horizontal="center" vertical="center" wrapText="1"/>
    </xf>
    <xf numFmtId="4" fontId="2" fillId="3" borderId="34" xfId="0" applyNumberFormat="1" applyFont="1" applyFill="1" applyBorder="1" applyAlignment="1">
      <alignment horizontal="center" vertical="center" wrapText="1"/>
    </xf>
    <xf numFmtId="4" fontId="4" fillId="0" borderId="2" xfId="0" applyNumberFormat="1" applyFont="1" applyBorder="1" applyAlignment="1">
      <alignment horizontal="center" vertical="center" wrapText="1"/>
    </xf>
    <xf numFmtId="4" fontId="4" fillId="0" borderId="5" xfId="0" applyNumberFormat="1" applyFont="1" applyBorder="1" applyAlignment="1">
      <alignment horizontal="center" vertical="center" wrapText="1"/>
    </xf>
    <xf numFmtId="4" fontId="4" fillId="0" borderId="3" xfId="0" applyNumberFormat="1" applyFont="1" applyBorder="1" applyAlignment="1">
      <alignment horizontal="center" vertical="center" wrapText="1"/>
    </xf>
    <xf numFmtId="4" fontId="4" fillId="0" borderId="10" xfId="0" applyNumberFormat="1" applyFont="1" applyBorder="1" applyAlignment="1">
      <alignment horizontal="center" vertical="center" wrapText="1"/>
    </xf>
    <xf numFmtId="4" fontId="2" fillId="3" borderId="31" xfId="0" applyNumberFormat="1" applyFont="1" applyFill="1" applyBorder="1" applyAlignment="1">
      <alignment horizontal="center" vertical="center" wrapText="1"/>
    </xf>
    <xf numFmtId="4" fontId="2" fillId="3" borderId="32" xfId="0" applyNumberFormat="1" applyFont="1" applyFill="1" applyBorder="1" applyAlignment="1">
      <alignment horizontal="center" vertical="center" wrapText="1"/>
    </xf>
    <xf numFmtId="3" fontId="6" fillId="2" borderId="6" xfId="0" applyNumberFormat="1" applyFont="1" applyFill="1" applyBorder="1" applyAlignment="1">
      <alignment horizontal="left" vertical="top" wrapText="1"/>
    </xf>
    <xf numFmtId="3" fontId="6" fillId="2" borderId="0" xfId="0" applyNumberFormat="1" applyFont="1" applyFill="1" applyAlignment="1">
      <alignment horizontal="left" vertical="top" wrapText="1"/>
    </xf>
    <xf numFmtId="3" fontId="6" fillId="2" borderId="8" xfId="0" applyNumberFormat="1" applyFont="1" applyFill="1" applyBorder="1" applyAlignment="1">
      <alignment horizontal="left" vertical="top" wrapText="1"/>
    </xf>
    <xf numFmtId="0" fontId="2" fillId="0" borderId="3"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3" borderId="31"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35" fillId="6" borderId="18" xfId="0" applyFont="1" applyFill="1" applyBorder="1" applyAlignment="1" applyProtection="1">
      <alignment horizontal="center" vertical="center"/>
      <protection locked="0"/>
    </xf>
    <xf numFmtId="0" fontId="35" fillId="6" borderId="38" xfId="0" applyFont="1" applyFill="1" applyBorder="1" applyAlignment="1" applyProtection="1">
      <alignment horizontal="center" vertical="center"/>
      <protection locked="0"/>
    </xf>
    <xf numFmtId="0" fontId="36" fillId="3" borderId="3" xfId="0" applyFont="1" applyFill="1" applyBorder="1" applyAlignment="1">
      <alignment horizontal="center" wrapText="1"/>
    </xf>
    <xf numFmtId="0" fontId="36" fillId="3" borderId="9" xfId="0" applyFont="1" applyFill="1" applyBorder="1" applyAlignment="1">
      <alignment horizontal="center" wrapText="1"/>
    </xf>
    <xf numFmtId="0" fontId="36" fillId="3" borderId="10" xfId="0" applyFont="1" applyFill="1" applyBorder="1" applyAlignment="1">
      <alignment horizontal="center" wrapText="1"/>
    </xf>
    <xf numFmtId="0" fontId="33" fillId="3" borderId="3"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33" fillId="3" borderId="10" xfId="0" applyFont="1" applyFill="1" applyBorder="1" applyAlignment="1">
      <alignment horizontal="center" vertical="center" wrapText="1"/>
    </xf>
    <xf numFmtId="0" fontId="33" fillId="6" borderId="3" xfId="0" applyFont="1" applyFill="1" applyBorder="1" applyAlignment="1">
      <alignment horizontal="center" vertical="center" wrapText="1"/>
    </xf>
    <xf numFmtId="0" fontId="33" fillId="6" borderId="9" xfId="0" applyFont="1" applyFill="1" applyBorder="1" applyAlignment="1">
      <alignment horizontal="center" vertical="center" wrapText="1"/>
    </xf>
    <xf numFmtId="0" fontId="33" fillId="6" borderId="10" xfId="0" applyFont="1" applyFill="1" applyBorder="1" applyAlignment="1">
      <alignment horizontal="center" vertical="center" wrapText="1"/>
    </xf>
    <xf numFmtId="0" fontId="28" fillId="4" borderId="22" xfId="0" applyFont="1" applyFill="1" applyBorder="1" applyAlignment="1" applyProtection="1">
      <alignment horizontal="center" vertical="center" wrapText="1"/>
      <protection locked="0"/>
    </xf>
    <xf numFmtId="0" fontId="28" fillId="4" borderId="21" xfId="0" applyFont="1" applyFill="1" applyBorder="1" applyAlignment="1" applyProtection="1">
      <alignment horizontal="center" vertical="center" wrapText="1"/>
      <protection locked="0"/>
    </xf>
    <xf numFmtId="0" fontId="26" fillId="6" borderId="2" xfId="0" applyFont="1" applyFill="1" applyBorder="1" applyAlignment="1">
      <alignment horizontal="center" wrapText="1"/>
    </xf>
    <xf numFmtId="0" fontId="26" fillId="6" borderId="4" xfId="0" applyFont="1" applyFill="1" applyBorder="1" applyAlignment="1">
      <alignment horizontal="center" wrapText="1"/>
    </xf>
    <xf numFmtId="0" fontId="26" fillId="6" borderId="5" xfId="0" applyFont="1" applyFill="1" applyBorder="1" applyAlignment="1">
      <alignment horizontal="center" wrapText="1"/>
    </xf>
    <xf numFmtId="0" fontId="26" fillId="3" borderId="2" xfId="0" applyFont="1" applyFill="1" applyBorder="1" applyAlignment="1">
      <alignment horizontal="center" wrapText="1"/>
    </xf>
    <xf numFmtId="0" fontId="26" fillId="3" borderId="4" xfId="0" applyFont="1" applyFill="1" applyBorder="1" applyAlignment="1">
      <alignment horizontal="center" wrapText="1"/>
    </xf>
    <xf numFmtId="0" fontId="26" fillId="3" borderId="5" xfId="0" applyFont="1" applyFill="1" applyBorder="1" applyAlignment="1">
      <alignment horizontal="center" wrapText="1"/>
    </xf>
    <xf numFmtId="0" fontId="34" fillId="6" borderId="3" xfId="0" applyFont="1" applyFill="1" applyBorder="1" applyAlignment="1">
      <alignment horizontal="center" wrapText="1"/>
    </xf>
    <xf numFmtId="0" fontId="34" fillId="6" borderId="9" xfId="0" applyFont="1" applyFill="1" applyBorder="1" applyAlignment="1">
      <alignment horizontal="center" wrapText="1"/>
    </xf>
    <xf numFmtId="0" fontId="34" fillId="6" borderId="10" xfId="0" applyFont="1" applyFill="1" applyBorder="1" applyAlignment="1">
      <alignment horizontal="center" wrapText="1"/>
    </xf>
    <xf numFmtId="0" fontId="21" fillId="8" borderId="18" xfId="0" applyFont="1" applyFill="1" applyBorder="1" applyAlignment="1" applyProtection="1">
      <alignment horizontal="center" vertical="center"/>
      <protection locked="0"/>
    </xf>
    <xf numFmtId="0" fontId="21" fillId="8" borderId="38" xfId="0" applyFont="1" applyFill="1" applyBorder="1" applyAlignment="1" applyProtection="1">
      <alignment horizontal="center" vertical="center"/>
      <protection locked="0"/>
    </xf>
    <xf numFmtId="0" fontId="21" fillId="8" borderId="35" xfId="0" applyFont="1" applyFill="1" applyBorder="1" applyAlignment="1" applyProtection="1">
      <alignment horizontal="center" vertical="center"/>
      <protection locked="0"/>
    </xf>
    <xf numFmtId="0" fontId="20" fillId="0" borderId="18" xfId="0" applyFont="1" applyBorder="1" applyAlignment="1" applyProtection="1">
      <alignment horizontal="center"/>
      <protection locked="0"/>
    </xf>
    <xf numFmtId="0" fontId="20" fillId="0" borderId="38" xfId="0" applyFont="1" applyBorder="1" applyAlignment="1" applyProtection="1">
      <alignment horizontal="center"/>
      <protection locked="0"/>
    </xf>
    <xf numFmtId="0" fontId="20" fillId="0" borderId="35" xfId="0" applyFont="1" applyBorder="1" applyAlignment="1" applyProtection="1">
      <alignment horizontal="center"/>
      <protection locked="0"/>
    </xf>
    <xf numFmtId="0" fontId="19" fillId="0" borderId="16" xfId="0" applyFont="1" applyBorder="1" applyAlignment="1" applyProtection="1">
      <alignment horizontal="center" wrapText="1"/>
      <protection locked="0"/>
    </xf>
    <xf numFmtId="0" fontId="19" fillId="0" borderId="46" xfId="0" applyFont="1" applyBorder="1" applyAlignment="1" applyProtection="1">
      <alignment horizontal="center" wrapText="1"/>
      <protection locked="0"/>
    </xf>
    <xf numFmtId="0" fontId="19" fillId="0" borderId="16" xfId="0" applyFont="1" applyBorder="1" applyAlignment="1" applyProtection="1">
      <alignment horizontal="center"/>
      <protection locked="0"/>
    </xf>
    <xf numFmtId="0" fontId="19" fillId="0" borderId="46" xfId="0" applyFont="1" applyBorder="1" applyAlignment="1" applyProtection="1">
      <alignment horizontal="center"/>
      <protection locked="0"/>
    </xf>
    <xf numFmtId="0" fontId="19" fillId="0" borderId="18" xfId="0" applyFont="1" applyBorder="1" applyAlignment="1" applyProtection="1">
      <alignment horizontal="center"/>
      <protection locked="0"/>
    </xf>
    <xf numFmtId="0" fontId="19" fillId="0" borderId="38" xfId="0" applyFont="1" applyBorder="1" applyAlignment="1" applyProtection="1">
      <alignment horizontal="center"/>
      <protection locked="0"/>
    </xf>
    <xf numFmtId="0" fontId="19" fillId="0" borderId="9" xfId="0" applyFont="1" applyBorder="1" applyAlignment="1" applyProtection="1">
      <alignment horizontal="center"/>
      <protection locked="0"/>
    </xf>
    <xf numFmtId="0" fontId="19" fillId="0" borderId="35" xfId="0" applyFont="1" applyBorder="1" applyAlignment="1" applyProtection="1">
      <alignment horizontal="center"/>
      <protection locked="0"/>
    </xf>
    <xf numFmtId="0" fontId="22" fillId="0" borderId="47" xfId="0" applyFont="1" applyBorder="1" applyAlignment="1" applyProtection="1">
      <alignment horizontal="center"/>
      <protection locked="0"/>
    </xf>
    <xf numFmtId="0" fontId="22" fillId="0" borderId="16" xfId="0" applyFont="1" applyBorder="1" applyAlignment="1" applyProtection="1">
      <alignment horizontal="center"/>
      <protection locked="0"/>
    </xf>
    <xf numFmtId="0" fontId="19" fillId="0" borderId="47" xfId="0" applyFont="1" applyBorder="1" applyAlignment="1" applyProtection="1">
      <alignment horizontal="center"/>
      <protection locked="0"/>
    </xf>
    <xf numFmtId="0" fontId="21" fillId="8" borderId="18" xfId="0" applyFont="1" applyFill="1" applyBorder="1" applyAlignment="1" applyProtection="1">
      <alignment horizontal="left" vertical="center"/>
      <protection locked="0"/>
    </xf>
    <xf numFmtId="0" fontId="21" fillId="8" borderId="38" xfId="0" applyFont="1" applyFill="1" applyBorder="1" applyAlignment="1" applyProtection="1">
      <alignment horizontal="left" vertical="center"/>
      <protection locked="0"/>
    </xf>
    <xf numFmtId="0" fontId="21" fillId="8" borderId="35" xfId="0" applyFont="1" applyFill="1" applyBorder="1" applyAlignment="1" applyProtection="1">
      <alignment horizontal="left" vertical="center"/>
      <protection locked="0"/>
    </xf>
    <xf numFmtId="0" fontId="21" fillId="8" borderId="43" xfId="0" applyFont="1" applyFill="1" applyBorder="1" applyAlignment="1" applyProtection="1">
      <alignment horizontal="left" vertical="center"/>
      <protection locked="0"/>
    </xf>
    <xf numFmtId="0" fontId="21" fillId="8" borderId="44" xfId="0" applyFont="1" applyFill="1" applyBorder="1" applyAlignment="1" applyProtection="1">
      <alignment horizontal="left" vertical="center"/>
      <protection locked="0"/>
    </xf>
    <xf numFmtId="0" fontId="21" fillId="8" borderId="45" xfId="0" applyFont="1" applyFill="1" applyBorder="1" applyAlignment="1" applyProtection="1">
      <alignment horizontal="left" vertical="center"/>
      <protection locked="0"/>
    </xf>
    <xf numFmtId="0" fontId="28" fillId="6" borderId="6" xfId="0" applyFont="1" applyFill="1" applyBorder="1" applyAlignment="1">
      <alignment horizontal="center" vertical="center" wrapText="1"/>
    </xf>
    <xf numFmtId="0" fontId="28" fillId="6" borderId="0" xfId="0" applyFont="1" applyFill="1" applyAlignment="1">
      <alignment horizontal="center" vertical="center" wrapText="1"/>
    </xf>
    <xf numFmtId="0" fontId="19" fillId="6" borderId="40" xfId="0" applyFont="1" applyFill="1" applyBorder="1" applyAlignment="1">
      <alignment horizontal="left" vertical="top" wrapText="1"/>
    </xf>
    <xf numFmtId="0" fontId="19" fillId="6" borderId="4" xfId="0" applyFont="1" applyFill="1" applyBorder="1" applyAlignment="1">
      <alignment horizontal="left" vertical="top" wrapText="1"/>
    </xf>
    <xf numFmtId="0" fontId="19" fillId="6" borderId="5" xfId="0" applyFont="1" applyFill="1" applyBorder="1" applyAlignment="1">
      <alignment horizontal="left" vertical="top" wrapText="1"/>
    </xf>
    <xf numFmtId="0" fontId="19" fillId="6" borderId="41" xfId="0" applyFont="1" applyFill="1" applyBorder="1" applyAlignment="1">
      <alignment horizontal="left" vertical="top" wrapText="1"/>
    </xf>
    <xf numFmtId="0" fontId="19" fillId="6" borderId="0" xfId="0" applyFont="1" applyFill="1" applyAlignment="1">
      <alignment horizontal="left" vertical="top" wrapText="1"/>
    </xf>
    <xf numFmtId="0" fontId="19" fillId="6" borderId="8" xfId="0" applyFont="1" applyFill="1" applyBorder="1" applyAlignment="1">
      <alignment horizontal="left" vertical="top" wrapText="1"/>
    </xf>
    <xf numFmtId="0" fontId="19" fillId="6" borderId="42" xfId="0" applyFont="1" applyFill="1" applyBorder="1" applyAlignment="1">
      <alignment horizontal="left" vertical="top" wrapText="1"/>
    </xf>
    <xf numFmtId="0" fontId="19" fillId="6" borderId="9" xfId="0" applyFont="1" applyFill="1" applyBorder="1" applyAlignment="1">
      <alignment horizontal="left" vertical="top" wrapText="1"/>
    </xf>
    <xf numFmtId="0" fontId="19" fillId="6" borderId="10" xfId="0" applyFont="1" applyFill="1" applyBorder="1" applyAlignment="1">
      <alignment horizontal="left" vertical="top" wrapText="1"/>
    </xf>
    <xf numFmtId="0" fontId="21" fillId="8" borderId="2" xfId="0" applyFont="1" applyFill="1" applyBorder="1" applyAlignment="1" applyProtection="1">
      <alignment horizontal="left" vertical="top"/>
      <protection locked="0"/>
    </xf>
    <xf numFmtId="0" fontId="21" fillId="8" borderId="4" xfId="0" applyFont="1" applyFill="1" applyBorder="1" applyAlignment="1" applyProtection="1">
      <alignment horizontal="left" vertical="top"/>
      <protection locked="0"/>
    </xf>
    <xf numFmtId="0" fontId="21" fillId="8" borderId="5" xfId="0" applyFont="1" applyFill="1" applyBorder="1" applyAlignment="1" applyProtection="1">
      <alignment horizontal="left" vertical="top"/>
      <protection locked="0"/>
    </xf>
    <xf numFmtId="0" fontId="24" fillId="0" borderId="18" xfId="0" applyFont="1" applyBorder="1" applyAlignment="1" applyProtection="1">
      <alignment horizontal="center"/>
      <protection locked="0"/>
    </xf>
    <xf numFmtId="0" fontId="24" fillId="0" borderId="38" xfId="0" applyFont="1" applyBorder="1" applyAlignment="1" applyProtection="1">
      <alignment horizontal="center"/>
      <protection locked="0"/>
    </xf>
    <xf numFmtId="0" fontId="24" fillId="0" borderId="35" xfId="0" applyFont="1" applyBorder="1" applyAlignment="1" applyProtection="1">
      <alignment horizontal="center"/>
      <protection locked="0"/>
    </xf>
    <xf numFmtId="0" fontId="21" fillId="8" borderId="43" xfId="0" applyFont="1" applyFill="1" applyBorder="1" applyAlignment="1" applyProtection="1">
      <alignment horizontal="center" vertical="center"/>
      <protection locked="0"/>
    </xf>
    <xf numFmtId="0" fontId="21" fillId="8" borderId="44" xfId="0" applyFont="1" applyFill="1" applyBorder="1" applyAlignment="1" applyProtection="1">
      <alignment horizontal="center" vertical="center"/>
      <protection locked="0"/>
    </xf>
    <xf numFmtId="0" fontId="21" fillId="8" borderId="45" xfId="0" applyFont="1" applyFill="1" applyBorder="1" applyAlignment="1" applyProtection="1">
      <alignment horizontal="center" vertical="center"/>
      <protection locked="0"/>
    </xf>
    <xf numFmtId="15" fontId="19" fillId="0" borderId="48" xfId="0" applyNumberFormat="1" applyFont="1" applyBorder="1" applyAlignment="1" applyProtection="1">
      <alignment horizontal="center"/>
      <protection locked="0"/>
    </xf>
    <xf numFmtId="15" fontId="19" fillId="0" borderId="49" xfId="0" applyNumberFormat="1" applyFont="1" applyBorder="1" applyAlignment="1" applyProtection="1">
      <alignment horizontal="center"/>
      <protection locked="0"/>
    </xf>
    <xf numFmtId="15" fontId="19" fillId="0" borderId="50" xfId="0" applyNumberFormat="1" applyFont="1" applyBorder="1" applyAlignment="1" applyProtection="1">
      <alignment horizontal="center"/>
      <protection locked="0"/>
    </xf>
    <xf numFmtId="15" fontId="19" fillId="0" borderId="3" xfId="0" applyNumberFormat="1" applyFont="1" applyBorder="1" applyAlignment="1" applyProtection="1">
      <alignment horizontal="center"/>
      <protection locked="0"/>
    </xf>
    <xf numFmtId="15" fontId="19" fillId="0" borderId="9" xfId="0" applyNumberFormat="1" applyFont="1" applyBorder="1" applyAlignment="1" applyProtection="1">
      <alignment horizontal="center"/>
      <protection locked="0"/>
    </xf>
    <xf numFmtId="15" fontId="19" fillId="0" borderId="10" xfId="0" applyNumberFormat="1" applyFont="1" applyBorder="1" applyAlignment="1" applyProtection="1">
      <alignment horizontal="center"/>
      <protection locked="0"/>
    </xf>
    <xf numFmtId="0" fontId="22" fillId="8" borderId="18" xfId="0" applyFont="1" applyFill="1" applyBorder="1" applyAlignment="1" applyProtection="1">
      <alignment horizontal="center" vertical="center"/>
      <protection locked="0"/>
    </xf>
    <xf numFmtId="0" fontId="22" fillId="8" borderId="38" xfId="0" applyFont="1" applyFill="1" applyBorder="1" applyAlignment="1" applyProtection="1">
      <alignment horizontal="center" vertical="center"/>
      <protection locked="0"/>
    </xf>
    <xf numFmtId="0" fontId="22" fillId="8" borderId="35" xfId="0" applyFont="1" applyFill="1" applyBorder="1" applyAlignment="1" applyProtection="1">
      <alignment horizontal="center" vertical="center"/>
      <protection locked="0"/>
    </xf>
    <xf numFmtId="15" fontId="19" fillId="0" borderId="47" xfId="0" applyNumberFormat="1" applyFont="1" applyBorder="1" applyAlignment="1" applyProtection="1">
      <alignment horizontal="center"/>
      <protection locked="0"/>
    </xf>
    <xf numFmtId="15" fontId="19" fillId="0" borderId="16" xfId="0" applyNumberFormat="1" applyFont="1" applyBorder="1" applyAlignment="1" applyProtection="1">
      <alignment horizontal="center"/>
      <protection locked="0"/>
    </xf>
    <xf numFmtId="15" fontId="19" fillId="0" borderId="51" xfId="0" applyNumberFormat="1" applyFont="1" applyBorder="1" applyAlignment="1" applyProtection="1">
      <alignment horizontal="center"/>
      <protection locked="0"/>
    </xf>
    <xf numFmtId="0" fontId="33" fillId="6" borderId="3" xfId="0" applyFont="1" applyFill="1" applyBorder="1" applyAlignment="1">
      <alignment horizontal="center" wrapText="1"/>
    </xf>
    <xf numFmtId="0" fontId="33" fillId="6" borderId="9" xfId="0" applyFont="1" applyFill="1" applyBorder="1" applyAlignment="1">
      <alignment horizontal="center" wrapText="1"/>
    </xf>
    <xf numFmtId="0" fontId="33" fillId="6" borderId="10" xfId="0" applyFont="1" applyFill="1" applyBorder="1" applyAlignment="1">
      <alignment horizontal="center" wrapText="1"/>
    </xf>
  </cellXfs>
  <cellStyles count="5">
    <cellStyle name="Comma 2" xfId="2" xr:uid="{00000000-0005-0000-0000-000001000000}"/>
    <cellStyle name="Millares" xfId="1" builtinId="3"/>
    <cellStyle name="Normal" xfId="0" builtinId="0"/>
    <cellStyle name="Normal 2" xfId="3" xr:uid="{00000000-0005-0000-0000-000003000000}"/>
    <cellStyle name="Porcentaje" xfId="4" builtinId="5"/>
  </cellStyles>
  <dxfs count="10">
    <dxf>
      <fill>
        <patternFill>
          <bgColor theme="5" tint="0.59996337778862885"/>
        </patternFill>
      </fill>
    </dxf>
    <dxf>
      <font>
        <b val="0"/>
        <i/>
        <strike val="0"/>
      </font>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border>
        <left style="thin">
          <color indexed="64"/>
        </left>
        <right/>
        <top/>
        <bottom/>
      </border>
    </dxf>
    <dxf>
      <fill>
        <patternFill>
          <bgColor rgb="FFCCFFFF"/>
        </patternFill>
      </fill>
      <border>
        <left style="thin">
          <color indexed="64"/>
        </left>
        <right style="thin">
          <color indexed="64"/>
        </right>
        <top style="thin">
          <color indexed="64"/>
        </top>
        <bottom style="thin">
          <color indexed="64"/>
        </bottom>
      </border>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15</xdr:col>
          <xdr:colOff>558800</xdr:colOff>
          <xdr:row>1</xdr:row>
          <xdr:rowOff>165100</xdr:rowOff>
        </xdr:from>
        <xdr:to>
          <xdr:col>17</xdr:col>
          <xdr:colOff>146050</xdr:colOff>
          <xdr:row>4</xdr:row>
          <xdr:rowOff>101600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s-CO" sz="1200" b="0" i="0" u="none" strike="noStrike" baseline="0">
                  <a:solidFill>
                    <a:srgbClr val="000000"/>
                  </a:solidFill>
                  <a:latin typeface="Arial"/>
                  <a:cs typeface="Arial"/>
                </a:rPr>
                <a:t>Run</a:t>
              </a:r>
            </a:p>
          </xdr:txBody>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257"/>
  <sheetViews>
    <sheetView showGridLines="0" tabSelected="1" topLeftCell="A7" zoomScale="70" zoomScaleNormal="70" workbookViewId="0">
      <selection activeCell="G9" sqref="G9"/>
    </sheetView>
  </sheetViews>
  <sheetFormatPr baseColWidth="10" defaultColWidth="9.69140625" defaultRowHeight="15.5" x14ac:dyDescent="0.35"/>
  <cols>
    <col min="1" max="1" width="21.53515625" style="1" customWidth="1"/>
    <col min="2" max="2" width="17.69140625" style="22" bestFit="1" customWidth="1"/>
    <col min="3" max="3" width="12.4609375" style="1" customWidth="1"/>
    <col min="4" max="6" width="9.69140625" style="1" customWidth="1"/>
    <col min="7" max="7" width="13.4609375" style="1" bestFit="1" customWidth="1"/>
    <col min="8" max="8" width="10.69140625" style="1" bestFit="1" customWidth="1"/>
    <col min="9" max="9" width="9.69140625" style="1" customWidth="1"/>
    <col min="10" max="10" width="13.4609375" style="1" bestFit="1" customWidth="1"/>
    <col min="11" max="11" width="22.4609375" style="1" customWidth="1"/>
    <col min="12" max="12" width="3.69140625" style="1" customWidth="1"/>
    <col min="13" max="14" width="13.69140625" style="1" bestFit="1" customWidth="1"/>
    <col min="15" max="15" width="10.07421875" style="1" customWidth="1"/>
    <col min="16" max="16" width="12.69140625" style="1" customWidth="1"/>
    <col min="17" max="17" width="12.84375" style="1" customWidth="1"/>
    <col min="18" max="18" width="14" style="1" customWidth="1"/>
    <col min="19" max="19" width="13.23046875" style="1" customWidth="1"/>
    <col min="20" max="20" width="18.4609375" style="1" customWidth="1"/>
    <col min="21" max="21" width="9.69140625" style="1"/>
    <col min="22" max="22" width="20.69140625" style="1" bestFit="1" customWidth="1"/>
    <col min="23" max="23" width="29" style="1" bestFit="1" customWidth="1"/>
    <col min="24" max="24" width="9.69140625" style="1"/>
    <col min="25" max="25" width="13" style="1" customWidth="1"/>
    <col min="26" max="26" width="14.23046875" style="1" customWidth="1"/>
    <col min="27" max="16384" width="9.69140625" style="1"/>
  </cols>
  <sheetData>
    <row r="1" spans="1:15" ht="18" x14ac:dyDescent="0.5">
      <c r="A1" s="61" t="s">
        <v>96</v>
      </c>
      <c r="D1" s="2"/>
      <c r="E1" s="2"/>
      <c r="F1" s="2"/>
      <c r="G1" s="3"/>
      <c r="H1" s="3"/>
      <c r="I1" s="2"/>
      <c r="J1" s="2"/>
      <c r="K1" s="2"/>
      <c r="L1" s="4"/>
      <c r="M1" s="2"/>
      <c r="N1" s="2"/>
      <c r="O1" s="5"/>
    </row>
    <row r="2" spans="1:15" x14ac:dyDescent="0.35">
      <c r="D2" s="2"/>
      <c r="E2" s="2"/>
      <c r="F2" s="2"/>
      <c r="G2" s="3"/>
      <c r="H2" s="3"/>
    </row>
    <row r="3" spans="1:15" ht="18" customHeight="1" x14ac:dyDescent="0.35">
      <c r="D3" s="2"/>
      <c r="E3" s="63"/>
      <c r="F3" s="63"/>
      <c r="G3" s="3"/>
      <c r="H3" s="6"/>
      <c r="M3" s="78"/>
      <c r="N3" s="70"/>
      <c r="O3" s="79"/>
    </row>
    <row r="4" spans="1:15" ht="18" customHeight="1" thickBot="1" x14ac:dyDescent="0.4">
      <c r="D4" s="2"/>
      <c r="E4" s="62"/>
      <c r="F4" s="64"/>
      <c r="G4" s="3"/>
      <c r="H4" s="7"/>
      <c r="M4" s="80"/>
      <c r="N4" s="81"/>
      <c r="O4" s="82"/>
    </row>
    <row r="5" spans="1:15" ht="18" customHeight="1" thickBot="1" x14ac:dyDescent="0.4">
      <c r="A5" s="152" t="s">
        <v>5</v>
      </c>
      <c r="B5" s="154"/>
      <c r="C5" s="68"/>
      <c r="D5" s="2"/>
      <c r="E5" s="18" t="s">
        <v>14</v>
      </c>
      <c r="F5" s="19"/>
      <c r="G5" s="20"/>
      <c r="H5" s="8"/>
      <c r="M5" s="83"/>
      <c r="N5" s="73"/>
      <c r="O5" s="84"/>
    </row>
    <row r="6" spans="1:15" x14ac:dyDescent="0.35">
      <c r="A6" s="89" t="s">
        <v>6</v>
      </c>
      <c r="B6" s="99">
        <f>Factsheet!B7</f>
        <v>0</v>
      </c>
      <c r="C6" s="69"/>
      <c r="D6" s="2"/>
      <c r="E6" s="164" t="s">
        <v>15</v>
      </c>
      <c r="F6" s="165"/>
      <c r="G6" s="95">
        <f>SUM(N26:N42)</f>
        <v>0</v>
      </c>
      <c r="H6" s="3"/>
      <c r="I6" s="158"/>
      <c r="J6" s="158"/>
      <c r="K6" s="158"/>
      <c r="M6" s="83"/>
      <c r="N6" s="73"/>
      <c r="O6" s="84"/>
    </row>
    <row r="7" spans="1:15" x14ac:dyDescent="0.35">
      <c r="A7" s="89" t="s">
        <v>64</v>
      </c>
      <c r="B7" s="97">
        <f>Factsheet!E7</f>
        <v>0</v>
      </c>
      <c r="C7" s="67"/>
      <c r="D7" s="2"/>
      <c r="E7" s="150" t="s">
        <v>16</v>
      </c>
      <c r="F7" s="151"/>
      <c r="G7" s="91">
        <f>SUM(K26:K42)</f>
        <v>0</v>
      </c>
      <c r="H7" s="3"/>
      <c r="I7" s="158"/>
      <c r="J7" s="158"/>
      <c r="K7" s="158"/>
      <c r="M7" s="83"/>
      <c r="N7" s="73"/>
      <c r="O7" s="84"/>
    </row>
    <row r="8" spans="1:15" ht="16" thickBot="1" x14ac:dyDescent="0.4">
      <c r="A8" s="90" t="s">
        <v>1</v>
      </c>
      <c r="B8" s="98" t="str">
        <f>Factsheet!B5</f>
        <v>Colombia</v>
      </c>
      <c r="C8" s="67"/>
      <c r="D8" s="2"/>
      <c r="E8" s="166" t="s">
        <v>17</v>
      </c>
      <c r="F8" s="167"/>
      <c r="G8" s="92">
        <f>SUMPRODUCT(E26:E42,D26:D42)*B11</f>
        <v>0</v>
      </c>
      <c r="H8" s="3"/>
      <c r="I8" s="158"/>
      <c r="J8" s="158"/>
      <c r="K8" s="158"/>
      <c r="M8" s="83"/>
      <c r="N8" s="73"/>
      <c r="O8" s="84"/>
    </row>
    <row r="9" spans="1:15" ht="16" thickBot="1" x14ac:dyDescent="0.4">
      <c r="A9" s="65"/>
      <c r="B9" s="66"/>
      <c r="C9" s="67"/>
      <c r="D9" s="2"/>
      <c r="E9" s="166" t="s">
        <v>18</v>
      </c>
      <c r="F9" s="167"/>
      <c r="G9" s="92">
        <f>SUMPRODUCT(F26:F42,D26:D42)*B11</f>
        <v>0</v>
      </c>
      <c r="H9" s="3"/>
      <c r="I9" s="158"/>
      <c r="J9" s="158"/>
      <c r="K9" s="158"/>
      <c r="M9" s="83"/>
      <c r="N9" s="73"/>
      <c r="O9" s="84"/>
    </row>
    <row r="10" spans="1:15" ht="16" thickBot="1" x14ac:dyDescent="0.4">
      <c r="A10" s="94" t="s">
        <v>29</v>
      </c>
      <c r="B10" s="114">
        <v>0.05</v>
      </c>
      <c r="D10" s="2"/>
      <c r="E10" s="150" t="s">
        <v>19</v>
      </c>
      <c r="F10" s="151"/>
      <c r="G10" s="93">
        <f>IF(G8=0,0,1-(G7/G8))</f>
        <v>0</v>
      </c>
      <c r="H10" s="3"/>
      <c r="I10" s="158"/>
      <c r="J10" s="158"/>
      <c r="K10" s="158"/>
      <c r="M10" s="83"/>
      <c r="N10" s="73"/>
      <c r="O10" s="84"/>
    </row>
    <row r="11" spans="1:15" ht="16" thickBot="1" x14ac:dyDescent="0.4">
      <c r="A11" s="94" t="s">
        <v>89</v>
      </c>
      <c r="B11" s="135">
        <v>1</v>
      </c>
      <c r="D11" s="2"/>
      <c r="E11" s="159" t="s">
        <v>20</v>
      </c>
      <c r="F11" s="160"/>
      <c r="G11" s="96">
        <f>IF(G9=0,0,1-(G7/G9))</f>
        <v>0</v>
      </c>
      <c r="H11" s="3"/>
      <c r="I11" s="83"/>
      <c r="J11" s="73"/>
      <c r="K11" s="73"/>
      <c r="M11" s="83"/>
      <c r="N11" s="73"/>
      <c r="O11" s="84"/>
    </row>
    <row r="12" spans="1:15" ht="16" thickBot="1" x14ac:dyDescent="0.4">
      <c r="A12" s="68"/>
      <c r="C12" s="71"/>
      <c r="D12" s="2"/>
      <c r="E12" s="74"/>
      <c r="F12" s="73"/>
      <c r="G12" s="75"/>
      <c r="H12" s="3"/>
      <c r="M12" s="83"/>
      <c r="N12" s="73"/>
      <c r="O12" s="84"/>
    </row>
    <row r="13" spans="1:15" ht="16" thickBot="1" x14ac:dyDescent="0.4">
      <c r="A13" s="152" t="s">
        <v>25</v>
      </c>
      <c r="B13" s="153"/>
      <c r="C13" s="154"/>
      <c r="D13" s="9"/>
      <c r="E13" s="74"/>
      <c r="F13" s="73"/>
      <c r="G13" s="75"/>
      <c r="H13" s="3"/>
      <c r="L13" s="85"/>
      <c r="M13" s="83"/>
      <c r="N13" s="73"/>
      <c r="O13" s="84"/>
    </row>
    <row r="14" spans="1:15" x14ac:dyDescent="0.35">
      <c r="A14" s="161" t="s">
        <v>88</v>
      </c>
      <c r="B14" s="162"/>
      <c r="C14" s="163"/>
    </row>
    <row r="15" spans="1:15" x14ac:dyDescent="0.35">
      <c r="A15" s="155" t="s">
        <v>65</v>
      </c>
      <c r="B15" s="156"/>
      <c r="C15" s="157"/>
      <c r="D15" s="2"/>
      <c r="E15" s="74"/>
      <c r="F15" s="73"/>
      <c r="G15" s="75"/>
      <c r="H15" s="3"/>
      <c r="L15" s="2"/>
      <c r="M15" s="83"/>
      <c r="N15" s="73"/>
      <c r="O15" s="84"/>
    </row>
    <row r="16" spans="1:15" ht="15.5" customHeight="1" x14ac:dyDescent="0.35">
      <c r="A16" s="184" t="s">
        <v>66</v>
      </c>
      <c r="B16" s="185"/>
      <c r="C16" s="186"/>
      <c r="D16" s="2"/>
      <c r="E16" s="74"/>
      <c r="F16" s="73"/>
      <c r="G16" s="75"/>
      <c r="H16" s="3"/>
      <c r="L16" s="10"/>
      <c r="M16" s="86"/>
      <c r="N16" s="87"/>
      <c r="O16" s="88"/>
    </row>
    <row r="17" spans="1:26" ht="16.25" customHeight="1" thickBot="1" x14ac:dyDescent="0.4">
      <c r="A17" s="187" t="s">
        <v>67</v>
      </c>
      <c r="B17" s="188"/>
      <c r="C17" s="189"/>
      <c r="D17" s="2"/>
      <c r="E17" s="133"/>
      <c r="F17" s="134"/>
      <c r="G17" s="84"/>
      <c r="H17" s="3"/>
      <c r="M17" s="76"/>
      <c r="N17" s="76"/>
      <c r="O17" s="77"/>
    </row>
    <row r="18" spans="1:26" x14ac:dyDescent="0.35">
      <c r="A18" s="65"/>
      <c r="B18" s="66"/>
      <c r="C18" s="66"/>
      <c r="D18" s="2"/>
      <c r="E18" s="2"/>
      <c r="F18" s="2"/>
      <c r="G18" s="3"/>
      <c r="H18" s="3"/>
      <c r="L18" s="10"/>
      <c r="M18" s="2"/>
      <c r="N18" s="2"/>
      <c r="O18" s="5"/>
    </row>
    <row r="19" spans="1:26" x14ac:dyDescent="0.35">
      <c r="D19" s="2"/>
      <c r="E19" s="2"/>
      <c r="F19" s="2"/>
      <c r="G19" s="3"/>
      <c r="H19" s="3"/>
      <c r="L19" s="10"/>
      <c r="M19" s="2"/>
      <c r="N19" s="2"/>
      <c r="O19" s="5"/>
    </row>
    <row r="20" spans="1:26" x14ac:dyDescent="0.35">
      <c r="A20" s="72"/>
      <c r="D20" s="2"/>
      <c r="E20" s="2"/>
      <c r="F20" s="2"/>
      <c r="G20" s="3"/>
      <c r="H20" s="3"/>
      <c r="L20" s="10"/>
      <c r="M20" s="10"/>
      <c r="N20" s="2"/>
      <c r="O20" s="5"/>
    </row>
    <row r="21" spans="1:26" ht="16" thickBot="1" x14ac:dyDescent="0.4">
      <c r="A21" s="65"/>
      <c r="D21" s="2"/>
      <c r="E21" s="2"/>
      <c r="F21" s="2"/>
      <c r="G21" s="3"/>
      <c r="H21" s="3"/>
      <c r="L21" s="10"/>
      <c r="M21" s="11"/>
      <c r="N21" s="2"/>
      <c r="O21" s="5"/>
    </row>
    <row r="22" spans="1:26" x14ac:dyDescent="0.35">
      <c r="A22" s="65"/>
      <c r="D22" s="2"/>
      <c r="E22" s="2"/>
      <c r="F22" s="2"/>
      <c r="G22" s="3"/>
      <c r="H22" s="3"/>
      <c r="L22" s="10"/>
      <c r="M22" s="178" t="s">
        <v>7</v>
      </c>
      <c r="N22" s="179"/>
      <c r="O22" s="5"/>
      <c r="R22" s="141" t="s">
        <v>33</v>
      </c>
      <c r="S22" s="142"/>
      <c r="T22" s="143"/>
    </row>
    <row r="23" spans="1:26" ht="16.5" customHeight="1" thickBot="1" x14ac:dyDescent="0.4">
      <c r="D23" s="2"/>
      <c r="E23" s="2"/>
      <c r="F23" s="2"/>
      <c r="G23" s="12"/>
      <c r="H23" s="3"/>
      <c r="I23" s="2"/>
      <c r="J23" s="2"/>
      <c r="K23" s="2"/>
      <c r="L23" s="4"/>
      <c r="M23" s="180"/>
      <c r="N23" s="181"/>
      <c r="O23" s="5"/>
      <c r="R23" s="144"/>
      <c r="S23" s="145"/>
      <c r="T23" s="146"/>
    </row>
    <row r="24" spans="1:26" ht="31.25" customHeight="1" x14ac:dyDescent="0.35">
      <c r="A24" s="16" t="s">
        <v>10</v>
      </c>
      <c r="B24" s="190" t="s">
        <v>11</v>
      </c>
      <c r="C24" s="190" t="s">
        <v>12</v>
      </c>
      <c r="D24" s="190" t="s">
        <v>13</v>
      </c>
      <c r="E24" s="168" t="s">
        <v>77</v>
      </c>
      <c r="F24" s="168" t="s">
        <v>24</v>
      </c>
      <c r="G24" s="168" t="s">
        <v>76</v>
      </c>
      <c r="H24" s="168" t="s">
        <v>75</v>
      </c>
      <c r="I24" s="168" t="s">
        <v>74</v>
      </c>
      <c r="J24" s="182" t="s">
        <v>72</v>
      </c>
      <c r="K24" s="174" t="s">
        <v>73</v>
      </c>
      <c r="L24" s="4"/>
      <c r="M24" s="176" t="s">
        <v>72</v>
      </c>
      <c r="N24" s="174" t="s">
        <v>73</v>
      </c>
      <c r="O24" s="5"/>
      <c r="P24" s="170" t="s">
        <v>71</v>
      </c>
      <c r="Q24" s="172" t="s">
        <v>70</v>
      </c>
      <c r="R24" s="148" t="s">
        <v>34</v>
      </c>
      <c r="S24" s="148" t="s">
        <v>35</v>
      </c>
      <c r="T24" s="148" t="s">
        <v>36</v>
      </c>
      <c r="U24" s="100"/>
      <c r="V24" s="147"/>
      <c r="W24" s="147"/>
      <c r="X24" s="100"/>
      <c r="Y24" s="147"/>
      <c r="Z24" s="147"/>
    </row>
    <row r="25" spans="1:26" ht="16.5" customHeight="1" thickBot="1" x14ac:dyDescent="0.4">
      <c r="A25" s="17"/>
      <c r="B25" s="191"/>
      <c r="C25" s="191"/>
      <c r="D25" s="191"/>
      <c r="E25" s="169"/>
      <c r="F25" s="169"/>
      <c r="G25" s="169"/>
      <c r="H25" s="169"/>
      <c r="I25" s="169"/>
      <c r="J25" s="183"/>
      <c r="K25" s="175"/>
      <c r="L25" s="4"/>
      <c r="M25" s="177"/>
      <c r="N25" s="175"/>
      <c r="O25" s="5"/>
      <c r="P25" s="171"/>
      <c r="Q25" s="173"/>
      <c r="R25" s="149"/>
      <c r="S25" s="149"/>
      <c r="T25" s="149"/>
      <c r="U25" s="100"/>
      <c r="V25" s="147"/>
      <c r="W25" s="147"/>
      <c r="X25" s="100"/>
      <c r="Y25" s="147"/>
      <c r="Z25" s="147"/>
    </row>
    <row r="26" spans="1:26" ht="15" customHeight="1" x14ac:dyDescent="0.35">
      <c r="A26" s="138"/>
      <c r="B26" s="115"/>
      <c r="C26" s="116"/>
      <c r="D26" s="139"/>
      <c r="E26" s="116"/>
      <c r="F26" s="116"/>
      <c r="G26" s="116"/>
      <c r="H26" s="117">
        <f>IF(G26=0,0,1-G26/E26)</f>
        <v>0</v>
      </c>
      <c r="I26" s="117">
        <f>IF(G26=0,0,1-G26/F26)</f>
        <v>0</v>
      </c>
      <c r="J26" s="118">
        <f>ROUND(IF(G26=0,F26*$B$11,G26*$B$11),2)</f>
        <v>0</v>
      </c>
      <c r="K26" s="119">
        <f>J26*D26</f>
        <v>0</v>
      </c>
      <c r="L26" s="4"/>
      <c r="M26" s="127">
        <f>TRUNC((J26*(1-$B$10)),2)</f>
        <v>0</v>
      </c>
      <c r="N26" s="128">
        <f>M26*D26</f>
        <v>0</v>
      </c>
      <c r="P26" s="108"/>
      <c r="Q26" s="109"/>
      <c r="R26" s="103"/>
      <c r="S26" s="102"/>
      <c r="T26" s="104"/>
    </row>
    <row r="27" spans="1:26" ht="15" customHeight="1" x14ac:dyDescent="0.35">
      <c r="A27" s="120"/>
      <c r="B27" s="101"/>
      <c r="C27" s="102"/>
      <c r="D27" s="140"/>
      <c r="E27" s="102"/>
      <c r="F27" s="102"/>
      <c r="G27" s="102"/>
      <c r="H27" s="13">
        <f>IF(G27=0,0,1-G27/E27)</f>
        <v>0</v>
      </c>
      <c r="I27" s="13">
        <f>IF(G27=0,0,1-G27/F27)</f>
        <v>0</v>
      </c>
      <c r="J27" s="14">
        <f>ROUND(IF(G27=0,F27*$B$11,G27*$B$11),2)</f>
        <v>0</v>
      </c>
      <c r="K27" s="121">
        <f t="shared" ref="K27:K43" si="0">J27*D27</f>
        <v>0</v>
      </c>
      <c r="L27" s="4"/>
      <c r="M27" s="129">
        <f t="shared" ref="M27:M43" si="1">TRUNC((J27*(1-$B$10)),2)</f>
        <v>0</v>
      </c>
      <c r="N27" s="130">
        <f t="shared" ref="N27:N43" si="2">M27*D27</f>
        <v>0</v>
      </c>
      <c r="P27" s="110"/>
      <c r="Q27" s="111"/>
      <c r="R27" s="103"/>
      <c r="S27" s="102"/>
      <c r="T27" s="104"/>
    </row>
    <row r="28" spans="1:26" ht="15" customHeight="1" x14ac:dyDescent="0.35">
      <c r="A28" s="120"/>
      <c r="B28" s="101"/>
      <c r="C28" s="102"/>
      <c r="D28" s="140"/>
      <c r="E28" s="102"/>
      <c r="F28" s="102"/>
      <c r="G28" s="102"/>
      <c r="H28" s="13">
        <f>IF(G28=0,0,1-G28/E28)</f>
        <v>0</v>
      </c>
      <c r="I28" s="13">
        <f>IF(G28=0,0,1-G28/F28)</f>
        <v>0</v>
      </c>
      <c r="J28" s="14">
        <f>ROUND(IF(G28=0,F28*$B$11,G28*$B$11),2)</f>
        <v>0</v>
      </c>
      <c r="K28" s="121">
        <f t="shared" si="0"/>
        <v>0</v>
      </c>
      <c r="L28" s="4"/>
      <c r="M28" s="129">
        <f t="shared" si="1"/>
        <v>0</v>
      </c>
      <c r="N28" s="130">
        <f t="shared" si="2"/>
        <v>0</v>
      </c>
      <c r="P28" s="110"/>
      <c r="Q28" s="111"/>
      <c r="R28" s="103"/>
      <c r="S28" s="102"/>
      <c r="T28" s="104"/>
    </row>
    <row r="29" spans="1:26" ht="15" customHeight="1" x14ac:dyDescent="0.35">
      <c r="A29" s="120"/>
      <c r="B29" s="101"/>
      <c r="C29" s="102"/>
      <c r="D29" s="140"/>
      <c r="E29" s="102"/>
      <c r="F29" s="102"/>
      <c r="G29" s="102"/>
      <c r="H29" s="13">
        <f t="shared" ref="H29:H43" si="3">IF(G29=0,0,1-G29/E29)</f>
        <v>0</v>
      </c>
      <c r="I29" s="13">
        <f>IF(G29=0,0,1-G29/F29)</f>
        <v>0</v>
      </c>
      <c r="J29" s="14">
        <f t="shared" ref="J29:J43" si="4">ROUND(IF(G29=0,F29*$B$11,G29*$B$11),2)</f>
        <v>0</v>
      </c>
      <c r="K29" s="121">
        <f t="shared" si="0"/>
        <v>0</v>
      </c>
      <c r="L29" s="4"/>
      <c r="M29" s="129">
        <f t="shared" si="1"/>
        <v>0</v>
      </c>
      <c r="N29" s="130">
        <f t="shared" si="2"/>
        <v>0</v>
      </c>
      <c r="P29" s="110"/>
      <c r="Q29" s="111"/>
      <c r="R29" s="103"/>
      <c r="S29" s="102"/>
      <c r="T29" s="104"/>
    </row>
    <row r="30" spans="1:26" ht="15" customHeight="1" x14ac:dyDescent="0.35">
      <c r="A30" s="120"/>
      <c r="B30" s="101"/>
      <c r="C30" s="102"/>
      <c r="D30" s="140"/>
      <c r="E30" s="102"/>
      <c r="F30" s="102"/>
      <c r="G30" s="102"/>
      <c r="H30" s="13">
        <f t="shared" si="3"/>
        <v>0</v>
      </c>
      <c r="I30" s="13">
        <f t="shared" ref="I30:I43" si="5">IF(G30=0,0,1-G30/F30)</f>
        <v>0</v>
      </c>
      <c r="J30" s="14">
        <f t="shared" si="4"/>
        <v>0</v>
      </c>
      <c r="K30" s="121">
        <f t="shared" si="0"/>
        <v>0</v>
      </c>
      <c r="L30" s="4"/>
      <c r="M30" s="129">
        <f t="shared" si="1"/>
        <v>0</v>
      </c>
      <c r="N30" s="130">
        <f t="shared" si="2"/>
        <v>0</v>
      </c>
      <c r="P30" s="110"/>
      <c r="Q30" s="111"/>
      <c r="R30" s="103"/>
      <c r="S30" s="102"/>
      <c r="T30" s="104"/>
    </row>
    <row r="31" spans="1:26" ht="15" customHeight="1" x14ac:dyDescent="0.35">
      <c r="A31" s="120"/>
      <c r="B31" s="101"/>
      <c r="C31" s="102"/>
      <c r="D31" s="140"/>
      <c r="E31" s="102"/>
      <c r="F31" s="102"/>
      <c r="G31" s="102"/>
      <c r="H31" s="13">
        <f t="shared" si="3"/>
        <v>0</v>
      </c>
      <c r="I31" s="13">
        <f t="shared" si="5"/>
        <v>0</v>
      </c>
      <c r="J31" s="14">
        <f t="shared" si="4"/>
        <v>0</v>
      </c>
      <c r="K31" s="121">
        <f>J31*D31</f>
        <v>0</v>
      </c>
      <c r="L31" s="4"/>
      <c r="M31" s="129">
        <f t="shared" si="1"/>
        <v>0</v>
      </c>
      <c r="N31" s="130">
        <f t="shared" si="2"/>
        <v>0</v>
      </c>
      <c r="P31" s="110"/>
      <c r="Q31" s="111"/>
      <c r="R31" s="103"/>
      <c r="S31" s="102"/>
      <c r="T31" s="104"/>
    </row>
    <row r="32" spans="1:26" ht="15" customHeight="1" x14ac:dyDescent="0.35">
      <c r="A32" s="120"/>
      <c r="B32" s="101"/>
      <c r="C32" s="102"/>
      <c r="D32" s="140"/>
      <c r="E32" s="102"/>
      <c r="F32" s="102"/>
      <c r="G32" s="102"/>
      <c r="H32" s="13">
        <f t="shared" si="3"/>
        <v>0</v>
      </c>
      <c r="I32" s="13">
        <f t="shared" si="5"/>
        <v>0</v>
      </c>
      <c r="J32" s="14">
        <f t="shared" si="4"/>
        <v>0</v>
      </c>
      <c r="K32" s="121">
        <f t="shared" si="0"/>
        <v>0</v>
      </c>
      <c r="L32" s="4"/>
      <c r="M32" s="129">
        <f t="shared" si="1"/>
        <v>0</v>
      </c>
      <c r="N32" s="130">
        <f t="shared" si="2"/>
        <v>0</v>
      </c>
      <c r="P32" s="110"/>
      <c r="Q32" s="111"/>
      <c r="R32" s="103"/>
      <c r="S32" s="102"/>
      <c r="T32" s="104"/>
    </row>
    <row r="33" spans="1:20" ht="15" customHeight="1" x14ac:dyDescent="0.35">
      <c r="A33" s="120"/>
      <c r="B33" s="101"/>
      <c r="C33" s="102"/>
      <c r="D33" s="140"/>
      <c r="E33" s="102"/>
      <c r="F33" s="102"/>
      <c r="G33" s="102"/>
      <c r="H33" s="13">
        <f t="shared" si="3"/>
        <v>0</v>
      </c>
      <c r="I33" s="13">
        <f t="shared" si="5"/>
        <v>0</v>
      </c>
      <c r="J33" s="14">
        <f t="shared" si="4"/>
        <v>0</v>
      </c>
      <c r="K33" s="121">
        <f t="shared" si="0"/>
        <v>0</v>
      </c>
      <c r="L33" s="4"/>
      <c r="M33" s="129">
        <f t="shared" si="1"/>
        <v>0</v>
      </c>
      <c r="N33" s="130">
        <f t="shared" si="2"/>
        <v>0</v>
      </c>
      <c r="P33" s="110"/>
      <c r="Q33" s="111"/>
      <c r="R33" s="103"/>
      <c r="S33" s="102"/>
      <c r="T33" s="104"/>
    </row>
    <row r="34" spans="1:20" ht="15" customHeight="1" x14ac:dyDescent="0.35">
      <c r="A34" s="120"/>
      <c r="B34" s="101"/>
      <c r="C34" s="102"/>
      <c r="D34" s="140"/>
      <c r="E34" s="102"/>
      <c r="F34" s="102"/>
      <c r="G34" s="102"/>
      <c r="H34" s="13">
        <f t="shared" si="3"/>
        <v>0</v>
      </c>
      <c r="I34" s="13">
        <f t="shared" si="5"/>
        <v>0</v>
      </c>
      <c r="J34" s="14">
        <f t="shared" si="4"/>
        <v>0</v>
      </c>
      <c r="K34" s="121">
        <f t="shared" si="0"/>
        <v>0</v>
      </c>
      <c r="L34" s="4"/>
      <c r="M34" s="129">
        <f t="shared" si="1"/>
        <v>0</v>
      </c>
      <c r="N34" s="130">
        <f t="shared" si="2"/>
        <v>0</v>
      </c>
      <c r="P34" s="110"/>
      <c r="Q34" s="111"/>
      <c r="R34" s="103"/>
      <c r="S34" s="102"/>
      <c r="T34" s="104"/>
    </row>
    <row r="35" spans="1:20" ht="15" customHeight="1" x14ac:dyDescent="0.35">
      <c r="A35" s="120"/>
      <c r="B35" s="101"/>
      <c r="C35" s="102"/>
      <c r="D35" s="140"/>
      <c r="E35" s="102"/>
      <c r="F35" s="102"/>
      <c r="G35" s="102"/>
      <c r="H35" s="13">
        <f t="shared" si="3"/>
        <v>0</v>
      </c>
      <c r="I35" s="13">
        <f t="shared" si="5"/>
        <v>0</v>
      </c>
      <c r="J35" s="14">
        <f t="shared" si="4"/>
        <v>0</v>
      </c>
      <c r="K35" s="121">
        <f t="shared" si="0"/>
        <v>0</v>
      </c>
      <c r="L35" s="4"/>
      <c r="M35" s="129">
        <f t="shared" si="1"/>
        <v>0</v>
      </c>
      <c r="N35" s="130">
        <f t="shared" si="2"/>
        <v>0</v>
      </c>
      <c r="P35" s="110"/>
      <c r="Q35" s="111"/>
      <c r="R35" s="103"/>
      <c r="S35" s="102"/>
      <c r="T35" s="104"/>
    </row>
    <row r="36" spans="1:20" ht="15" customHeight="1" x14ac:dyDescent="0.35">
      <c r="A36" s="120"/>
      <c r="B36" s="101"/>
      <c r="C36" s="102"/>
      <c r="D36" s="140"/>
      <c r="E36" s="102"/>
      <c r="F36" s="102"/>
      <c r="G36" s="102"/>
      <c r="H36" s="13">
        <f t="shared" si="3"/>
        <v>0</v>
      </c>
      <c r="I36" s="13">
        <f t="shared" si="5"/>
        <v>0</v>
      </c>
      <c r="J36" s="14">
        <f t="shared" si="4"/>
        <v>0</v>
      </c>
      <c r="K36" s="121">
        <f t="shared" si="0"/>
        <v>0</v>
      </c>
      <c r="L36" s="4"/>
      <c r="M36" s="129">
        <f t="shared" si="1"/>
        <v>0</v>
      </c>
      <c r="N36" s="130">
        <f t="shared" si="2"/>
        <v>0</v>
      </c>
      <c r="P36" s="110"/>
      <c r="Q36" s="111"/>
      <c r="R36" s="103"/>
      <c r="S36" s="102"/>
      <c r="T36" s="104"/>
    </row>
    <row r="37" spans="1:20" ht="15" customHeight="1" x14ac:dyDescent="0.35">
      <c r="A37" s="120"/>
      <c r="B37" s="101"/>
      <c r="C37" s="102"/>
      <c r="D37" s="140"/>
      <c r="E37" s="102"/>
      <c r="F37" s="102"/>
      <c r="G37" s="102"/>
      <c r="H37" s="13">
        <f t="shared" si="3"/>
        <v>0</v>
      </c>
      <c r="I37" s="13">
        <f t="shared" si="5"/>
        <v>0</v>
      </c>
      <c r="J37" s="14">
        <f t="shared" si="4"/>
        <v>0</v>
      </c>
      <c r="K37" s="121">
        <f t="shared" si="0"/>
        <v>0</v>
      </c>
      <c r="L37" s="4"/>
      <c r="M37" s="129">
        <f t="shared" si="1"/>
        <v>0</v>
      </c>
      <c r="N37" s="130">
        <f t="shared" si="2"/>
        <v>0</v>
      </c>
      <c r="P37" s="110"/>
      <c r="Q37" s="111"/>
      <c r="R37" s="103"/>
      <c r="S37" s="102"/>
      <c r="T37" s="104"/>
    </row>
    <row r="38" spans="1:20" ht="15" customHeight="1" x14ac:dyDescent="0.35">
      <c r="A38" s="120"/>
      <c r="B38" s="101"/>
      <c r="C38" s="102"/>
      <c r="D38" s="140"/>
      <c r="E38" s="102"/>
      <c r="F38" s="102"/>
      <c r="G38" s="102"/>
      <c r="H38" s="13">
        <f t="shared" si="3"/>
        <v>0</v>
      </c>
      <c r="I38" s="13">
        <f t="shared" si="5"/>
        <v>0</v>
      </c>
      <c r="J38" s="14">
        <f t="shared" si="4"/>
        <v>0</v>
      </c>
      <c r="K38" s="121">
        <f t="shared" si="0"/>
        <v>0</v>
      </c>
      <c r="L38" s="4"/>
      <c r="M38" s="129">
        <f t="shared" si="1"/>
        <v>0</v>
      </c>
      <c r="N38" s="130">
        <f t="shared" si="2"/>
        <v>0</v>
      </c>
      <c r="P38" s="110"/>
      <c r="Q38" s="111"/>
      <c r="R38" s="103"/>
      <c r="S38" s="102"/>
      <c r="T38" s="104"/>
    </row>
    <row r="39" spans="1:20" ht="15" customHeight="1" x14ac:dyDescent="0.35">
      <c r="A39" s="120"/>
      <c r="B39" s="101"/>
      <c r="C39" s="102"/>
      <c r="D39" s="140"/>
      <c r="E39" s="102"/>
      <c r="F39" s="102"/>
      <c r="G39" s="102"/>
      <c r="H39" s="13">
        <f t="shared" si="3"/>
        <v>0</v>
      </c>
      <c r="I39" s="13">
        <f t="shared" si="5"/>
        <v>0</v>
      </c>
      <c r="J39" s="14">
        <f t="shared" si="4"/>
        <v>0</v>
      </c>
      <c r="K39" s="121">
        <f t="shared" si="0"/>
        <v>0</v>
      </c>
      <c r="L39" s="4"/>
      <c r="M39" s="129">
        <f t="shared" si="1"/>
        <v>0</v>
      </c>
      <c r="N39" s="130">
        <f t="shared" si="2"/>
        <v>0</v>
      </c>
      <c r="P39" s="110"/>
      <c r="Q39" s="111"/>
      <c r="R39" s="103"/>
      <c r="S39" s="102"/>
      <c r="T39" s="104"/>
    </row>
    <row r="40" spans="1:20" ht="15" customHeight="1" x14ac:dyDescent="0.35">
      <c r="A40" s="120"/>
      <c r="B40" s="101"/>
      <c r="C40" s="102"/>
      <c r="D40" s="140"/>
      <c r="E40" s="102"/>
      <c r="F40" s="102"/>
      <c r="G40" s="102"/>
      <c r="H40" s="13">
        <f t="shared" si="3"/>
        <v>0</v>
      </c>
      <c r="I40" s="13">
        <f t="shared" si="5"/>
        <v>0</v>
      </c>
      <c r="J40" s="14">
        <f t="shared" si="4"/>
        <v>0</v>
      </c>
      <c r="K40" s="121">
        <f t="shared" si="0"/>
        <v>0</v>
      </c>
      <c r="L40" s="4"/>
      <c r="M40" s="129">
        <f t="shared" si="1"/>
        <v>0</v>
      </c>
      <c r="N40" s="130">
        <f t="shared" si="2"/>
        <v>0</v>
      </c>
      <c r="P40" s="110"/>
      <c r="Q40" s="111"/>
      <c r="R40" s="103"/>
      <c r="S40" s="102"/>
      <c r="T40" s="104"/>
    </row>
    <row r="41" spans="1:20" ht="15" customHeight="1" x14ac:dyDescent="0.35">
      <c r="A41" s="120"/>
      <c r="B41" s="101"/>
      <c r="C41" s="102"/>
      <c r="D41" s="140"/>
      <c r="E41" s="102"/>
      <c r="F41" s="102"/>
      <c r="G41" s="102"/>
      <c r="H41" s="13">
        <f t="shared" si="3"/>
        <v>0</v>
      </c>
      <c r="I41" s="13">
        <f t="shared" si="5"/>
        <v>0</v>
      </c>
      <c r="J41" s="14">
        <f t="shared" si="4"/>
        <v>0</v>
      </c>
      <c r="K41" s="121">
        <f t="shared" si="0"/>
        <v>0</v>
      </c>
      <c r="L41" s="4"/>
      <c r="M41" s="129">
        <f t="shared" si="1"/>
        <v>0</v>
      </c>
      <c r="N41" s="130">
        <f t="shared" si="2"/>
        <v>0</v>
      </c>
      <c r="P41" s="110"/>
      <c r="Q41" s="111"/>
      <c r="R41" s="103"/>
      <c r="S41" s="102"/>
      <c r="T41" s="104"/>
    </row>
    <row r="42" spans="1:20" ht="15" customHeight="1" x14ac:dyDescent="0.35">
      <c r="A42" s="120"/>
      <c r="B42" s="101"/>
      <c r="C42" s="102"/>
      <c r="D42" s="102"/>
      <c r="E42" s="102"/>
      <c r="F42" s="102"/>
      <c r="G42" s="102"/>
      <c r="H42" s="13">
        <f t="shared" si="3"/>
        <v>0</v>
      </c>
      <c r="I42" s="13">
        <f t="shared" si="5"/>
        <v>0</v>
      </c>
      <c r="J42" s="14">
        <f t="shared" si="4"/>
        <v>0</v>
      </c>
      <c r="K42" s="121">
        <f t="shared" si="0"/>
        <v>0</v>
      </c>
      <c r="L42" s="4"/>
      <c r="M42" s="129">
        <f t="shared" si="1"/>
        <v>0</v>
      </c>
      <c r="N42" s="130">
        <f t="shared" si="2"/>
        <v>0</v>
      </c>
      <c r="P42" s="110"/>
      <c r="Q42" s="111"/>
      <c r="R42" s="103"/>
      <c r="S42" s="102"/>
      <c r="T42" s="104"/>
    </row>
    <row r="43" spans="1:20" ht="15" customHeight="1" thickBot="1" x14ac:dyDescent="0.4">
      <c r="A43" s="122"/>
      <c r="B43" s="123"/>
      <c r="C43" s="106"/>
      <c r="D43" s="106"/>
      <c r="E43" s="106"/>
      <c r="F43" s="106"/>
      <c r="G43" s="106"/>
      <c r="H43" s="124">
        <f t="shared" si="3"/>
        <v>0</v>
      </c>
      <c r="I43" s="124">
        <f t="shared" si="5"/>
        <v>0</v>
      </c>
      <c r="J43" s="125">
        <f t="shared" si="4"/>
        <v>0</v>
      </c>
      <c r="K43" s="126">
        <f t="shared" si="0"/>
        <v>0</v>
      </c>
      <c r="L43" s="4"/>
      <c r="M43" s="131">
        <f t="shared" si="1"/>
        <v>0</v>
      </c>
      <c r="N43" s="132">
        <f t="shared" si="2"/>
        <v>0</v>
      </c>
      <c r="P43" s="112"/>
      <c r="Q43" s="113"/>
      <c r="R43" s="105"/>
      <c r="S43" s="106"/>
      <c r="T43" s="107"/>
    </row>
    <row r="44" spans="1:20" x14ac:dyDescent="0.35">
      <c r="D44" s="2"/>
      <c r="E44" s="2"/>
      <c r="F44" s="2"/>
      <c r="G44" s="3"/>
      <c r="H44" s="3"/>
      <c r="I44" s="2"/>
      <c r="J44" s="2"/>
      <c r="K44" s="2"/>
      <c r="L44" s="4"/>
      <c r="M44" s="2"/>
      <c r="N44" s="2"/>
      <c r="O44" s="5"/>
      <c r="P44" s="21"/>
      <c r="Q44" s="21"/>
    </row>
    <row r="45" spans="1:20" x14ac:dyDescent="0.35">
      <c r="D45" s="2"/>
      <c r="E45" s="2"/>
      <c r="F45" s="2"/>
      <c r="G45" s="3"/>
      <c r="H45" s="3"/>
      <c r="I45" s="2"/>
      <c r="J45" s="2"/>
      <c r="K45" s="2"/>
      <c r="L45" s="4"/>
      <c r="M45" s="2"/>
      <c r="N45" s="2"/>
      <c r="O45" s="5"/>
      <c r="P45" s="21"/>
      <c r="Q45" s="21"/>
    </row>
    <row r="46" spans="1:20" x14ac:dyDescent="0.35">
      <c r="D46" s="2"/>
      <c r="E46" s="2"/>
      <c r="F46" s="2"/>
      <c r="G46" s="3"/>
      <c r="H46" s="3"/>
      <c r="I46" s="2"/>
      <c r="J46" s="2"/>
      <c r="K46" s="2"/>
      <c r="L46" s="4"/>
      <c r="M46" s="2"/>
      <c r="N46" s="2"/>
      <c r="O46" s="5"/>
      <c r="P46" s="21"/>
      <c r="Q46" s="21"/>
    </row>
    <row r="47" spans="1:20" x14ac:dyDescent="0.35">
      <c r="D47" s="2"/>
      <c r="E47" s="2"/>
      <c r="F47" s="2"/>
      <c r="G47" s="3"/>
      <c r="H47" s="3"/>
      <c r="I47" s="2"/>
      <c r="J47" s="2"/>
      <c r="K47" s="2"/>
      <c r="L47" s="4"/>
      <c r="M47" s="2"/>
      <c r="N47" s="2"/>
      <c r="O47" s="5"/>
      <c r="P47" s="21"/>
      <c r="Q47" s="21"/>
    </row>
    <row r="48" spans="1:20" x14ac:dyDescent="0.35">
      <c r="D48" s="2"/>
      <c r="E48" s="2"/>
      <c r="F48" s="2"/>
      <c r="G48" s="3"/>
      <c r="H48" s="3"/>
      <c r="I48" s="2"/>
      <c r="J48" s="2"/>
      <c r="K48" s="2"/>
      <c r="L48" s="4"/>
      <c r="M48" s="2"/>
      <c r="N48" s="2"/>
      <c r="O48" s="5"/>
      <c r="P48" s="21"/>
      <c r="Q48" s="21"/>
    </row>
    <row r="49" spans="4:17" x14ac:dyDescent="0.35">
      <c r="D49" s="2"/>
      <c r="E49" s="2"/>
      <c r="F49" s="2"/>
      <c r="G49" s="3"/>
      <c r="H49" s="3"/>
      <c r="I49" s="2"/>
      <c r="J49" s="2"/>
      <c r="K49" s="2"/>
      <c r="L49" s="4"/>
      <c r="M49" s="2"/>
      <c r="N49" s="2"/>
      <c r="O49" s="5"/>
      <c r="P49" s="21"/>
      <c r="Q49" s="21"/>
    </row>
    <row r="50" spans="4:17" x14ac:dyDescent="0.35">
      <c r="D50" s="2"/>
      <c r="E50" s="2"/>
      <c r="F50" s="2"/>
      <c r="G50" s="3"/>
      <c r="H50" s="3"/>
      <c r="I50" s="2"/>
      <c r="J50" s="2"/>
      <c r="K50" s="2"/>
      <c r="L50" s="4"/>
      <c r="M50" s="2"/>
      <c r="N50" s="2"/>
      <c r="O50" s="5"/>
      <c r="P50" s="21"/>
      <c r="Q50" s="21"/>
    </row>
    <row r="51" spans="4:17" x14ac:dyDescent="0.35">
      <c r="D51" s="2"/>
      <c r="E51" s="2"/>
      <c r="F51" s="2"/>
      <c r="G51" s="3"/>
      <c r="H51" s="3"/>
      <c r="I51" s="2"/>
      <c r="J51" s="2"/>
      <c r="K51" s="2"/>
      <c r="L51" s="4"/>
      <c r="M51" s="2"/>
      <c r="N51" s="2"/>
      <c r="O51" s="5"/>
      <c r="P51" s="21"/>
      <c r="Q51" s="21"/>
    </row>
    <row r="52" spans="4:17" x14ac:dyDescent="0.35">
      <c r="D52" s="2"/>
      <c r="E52" s="2"/>
      <c r="F52" s="2"/>
      <c r="G52" s="3"/>
      <c r="H52" s="3"/>
      <c r="I52" s="2"/>
      <c r="J52" s="2"/>
      <c r="K52" s="2"/>
      <c r="L52" s="4"/>
      <c r="M52" s="2"/>
      <c r="N52" s="2"/>
      <c r="O52" s="5"/>
      <c r="P52" s="21"/>
      <c r="Q52" s="21"/>
    </row>
    <row r="53" spans="4:17" x14ac:dyDescent="0.35">
      <c r="D53" s="2"/>
      <c r="E53" s="2"/>
      <c r="F53" s="2"/>
      <c r="G53" s="3"/>
      <c r="H53" s="3"/>
      <c r="I53" s="2"/>
      <c r="J53" s="2"/>
      <c r="K53" s="2"/>
      <c r="L53" s="4"/>
      <c r="M53" s="2"/>
      <c r="N53" s="2"/>
      <c r="O53" s="5"/>
      <c r="P53" s="21"/>
      <c r="Q53" s="21"/>
    </row>
    <row r="54" spans="4:17" x14ac:dyDescent="0.35">
      <c r="D54" s="2"/>
      <c r="E54" s="2"/>
      <c r="F54" s="2"/>
      <c r="G54" s="3"/>
      <c r="H54" s="3"/>
      <c r="I54" s="2"/>
      <c r="J54" s="2"/>
      <c r="K54" s="2"/>
      <c r="L54" s="4"/>
      <c r="M54" s="2"/>
      <c r="N54" s="2"/>
      <c r="O54" s="5"/>
      <c r="P54" s="21"/>
      <c r="Q54" s="21"/>
    </row>
    <row r="55" spans="4:17" x14ac:dyDescent="0.35">
      <c r="D55" s="2"/>
      <c r="E55" s="2"/>
      <c r="F55" s="2"/>
      <c r="G55" s="3"/>
      <c r="H55" s="3"/>
      <c r="I55" s="2"/>
      <c r="J55" s="2"/>
      <c r="K55" s="2"/>
      <c r="L55" s="4"/>
      <c r="M55" s="2"/>
      <c r="N55" s="2"/>
      <c r="O55" s="5"/>
      <c r="P55" s="21"/>
      <c r="Q55" s="21"/>
    </row>
    <row r="56" spans="4:17" x14ac:dyDescent="0.35">
      <c r="D56" s="2"/>
      <c r="E56" s="2"/>
      <c r="F56" s="2"/>
      <c r="G56" s="3"/>
      <c r="H56" s="3"/>
      <c r="I56" s="2"/>
      <c r="J56" s="2"/>
      <c r="K56" s="2"/>
      <c r="L56" s="4"/>
      <c r="M56" s="2"/>
      <c r="N56" s="2"/>
      <c r="O56" s="5"/>
      <c r="P56" s="21"/>
      <c r="Q56" s="21"/>
    </row>
    <row r="57" spans="4:17" x14ac:dyDescent="0.35">
      <c r="D57" s="2"/>
      <c r="E57" s="2"/>
      <c r="F57" s="2"/>
      <c r="G57" s="3"/>
      <c r="H57" s="3"/>
      <c r="I57" s="2"/>
      <c r="J57" s="2"/>
      <c r="K57" s="2"/>
      <c r="L57" s="4"/>
      <c r="M57" s="2"/>
      <c r="N57" s="2"/>
      <c r="O57" s="5"/>
      <c r="P57" s="21"/>
      <c r="Q57" s="21"/>
    </row>
    <row r="58" spans="4:17" x14ac:dyDescent="0.35">
      <c r="D58" s="2"/>
      <c r="E58" s="2"/>
      <c r="F58" s="2"/>
      <c r="G58" s="3"/>
      <c r="H58" s="3"/>
      <c r="I58" s="2"/>
      <c r="J58" s="2"/>
      <c r="K58" s="2"/>
      <c r="L58" s="4"/>
      <c r="M58" s="2"/>
      <c r="N58" s="2"/>
      <c r="O58" s="5"/>
      <c r="P58" s="21"/>
      <c r="Q58" s="21"/>
    </row>
    <row r="59" spans="4:17" x14ac:dyDescent="0.35">
      <c r="D59" s="2"/>
      <c r="E59" s="2"/>
      <c r="F59" s="2"/>
      <c r="G59" s="3"/>
      <c r="H59" s="3"/>
      <c r="I59" s="2"/>
      <c r="J59" s="2"/>
      <c r="K59" s="2"/>
      <c r="L59" s="4"/>
      <c r="M59" s="2"/>
      <c r="N59" s="2"/>
      <c r="O59" s="5"/>
      <c r="P59" s="21"/>
      <c r="Q59" s="21"/>
    </row>
    <row r="60" spans="4:17" x14ac:dyDescent="0.35">
      <c r="D60" s="2"/>
      <c r="E60" s="2"/>
      <c r="F60" s="2"/>
      <c r="G60" s="3"/>
      <c r="H60" s="3"/>
      <c r="I60" s="2"/>
      <c r="J60" s="2"/>
      <c r="K60" s="2"/>
      <c r="L60" s="4"/>
      <c r="M60" s="2"/>
      <c r="N60" s="2"/>
      <c r="O60" s="5"/>
      <c r="P60" s="21"/>
      <c r="Q60" s="21"/>
    </row>
    <row r="61" spans="4:17" x14ac:dyDescent="0.35">
      <c r="D61" s="2"/>
      <c r="E61" s="2"/>
      <c r="F61" s="2"/>
      <c r="G61" s="3"/>
      <c r="H61" s="3"/>
      <c r="I61" s="2"/>
      <c r="J61" s="2"/>
      <c r="K61" s="2"/>
      <c r="L61" s="4"/>
      <c r="M61" s="2"/>
      <c r="N61" s="2"/>
      <c r="O61" s="5"/>
      <c r="P61" s="21"/>
      <c r="Q61" s="21"/>
    </row>
    <row r="62" spans="4:17" x14ac:dyDescent="0.35">
      <c r="D62" s="2"/>
      <c r="E62" s="2"/>
      <c r="F62" s="2"/>
      <c r="G62" s="3"/>
      <c r="H62" s="3"/>
      <c r="I62" s="2"/>
      <c r="J62" s="2"/>
      <c r="K62" s="2"/>
      <c r="L62" s="4"/>
      <c r="M62" s="2"/>
      <c r="N62" s="2"/>
      <c r="O62" s="5"/>
      <c r="P62" s="21"/>
      <c r="Q62" s="21"/>
    </row>
    <row r="63" spans="4:17" x14ac:dyDescent="0.35">
      <c r="D63" s="2"/>
      <c r="E63" s="2"/>
      <c r="F63" s="2"/>
      <c r="G63" s="3"/>
      <c r="H63" s="3"/>
      <c r="I63" s="2"/>
      <c r="J63" s="2"/>
      <c r="K63" s="2"/>
      <c r="L63" s="4"/>
      <c r="M63" s="2"/>
      <c r="N63" s="2"/>
      <c r="O63" s="5"/>
      <c r="P63" s="21"/>
      <c r="Q63" s="21"/>
    </row>
    <row r="64" spans="4:17" x14ac:dyDescent="0.35">
      <c r="D64" s="2"/>
      <c r="E64" s="2"/>
      <c r="F64" s="2"/>
      <c r="G64" s="3"/>
      <c r="H64" s="3"/>
      <c r="I64" s="2"/>
      <c r="J64" s="2"/>
      <c r="K64" s="2"/>
      <c r="L64" s="4"/>
      <c r="M64" s="2"/>
      <c r="N64" s="2"/>
      <c r="O64" s="5"/>
      <c r="P64" s="21"/>
      <c r="Q64" s="21"/>
    </row>
    <row r="65" spans="4:17" x14ac:dyDescent="0.35">
      <c r="D65" s="2"/>
      <c r="E65" s="2"/>
      <c r="F65" s="2"/>
      <c r="G65" s="3"/>
      <c r="H65" s="3"/>
      <c r="I65" s="2"/>
      <c r="J65" s="2"/>
      <c r="K65" s="2"/>
      <c r="L65" s="4"/>
      <c r="M65" s="2"/>
      <c r="N65" s="2"/>
      <c r="O65" s="5"/>
      <c r="P65" s="21"/>
      <c r="Q65" s="21"/>
    </row>
    <row r="66" spans="4:17" x14ac:dyDescent="0.35">
      <c r="D66" s="2"/>
      <c r="E66" s="2"/>
      <c r="F66" s="2"/>
      <c r="G66" s="3"/>
      <c r="H66" s="3"/>
      <c r="I66" s="2"/>
      <c r="J66" s="2"/>
      <c r="K66" s="2"/>
      <c r="L66" s="4"/>
      <c r="M66" s="2"/>
      <c r="N66" s="2"/>
      <c r="O66" s="5"/>
      <c r="P66" s="21"/>
      <c r="Q66" s="21"/>
    </row>
    <row r="67" spans="4:17" x14ac:dyDescent="0.35">
      <c r="D67" s="2"/>
      <c r="E67" s="2"/>
      <c r="F67" s="2"/>
      <c r="G67" s="3"/>
      <c r="H67" s="3"/>
      <c r="I67" s="2"/>
      <c r="J67" s="2"/>
      <c r="K67" s="2"/>
      <c r="L67" s="4"/>
      <c r="M67" s="2"/>
      <c r="N67" s="2"/>
      <c r="O67" s="5"/>
      <c r="P67" s="21"/>
      <c r="Q67" s="21"/>
    </row>
    <row r="68" spans="4:17" x14ac:dyDescent="0.35">
      <c r="D68" s="2"/>
      <c r="E68" s="2"/>
      <c r="F68" s="2"/>
      <c r="G68" s="3"/>
      <c r="H68" s="3"/>
      <c r="I68" s="2"/>
      <c r="J68" s="2"/>
      <c r="K68" s="2"/>
      <c r="L68" s="4"/>
      <c r="M68" s="2"/>
      <c r="N68" s="2"/>
      <c r="O68" s="5"/>
      <c r="P68" s="21"/>
      <c r="Q68" s="21"/>
    </row>
    <row r="69" spans="4:17" x14ac:dyDescent="0.35">
      <c r="D69" s="2"/>
      <c r="E69" s="2"/>
      <c r="F69" s="2"/>
      <c r="G69" s="3"/>
      <c r="H69" s="3"/>
      <c r="I69" s="2"/>
      <c r="J69" s="2"/>
      <c r="K69" s="2"/>
      <c r="L69" s="4"/>
      <c r="M69" s="2"/>
      <c r="N69" s="2"/>
      <c r="O69" s="5"/>
      <c r="P69" s="21"/>
      <c r="Q69" s="21"/>
    </row>
    <row r="70" spans="4:17" x14ac:dyDescent="0.35">
      <c r="D70" s="2"/>
      <c r="E70" s="2"/>
      <c r="F70" s="2"/>
      <c r="G70" s="3"/>
      <c r="H70" s="3"/>
      <c r="I70" s="2"/>
      <c r="J70" s="2"/>
      <c r="K70" s="2"/>
      <c r="L70" s="4"/>
      <c r="M70" s="2"/>
      <c r="N70" s="2"/>
      <c r="O70" s="5"/>
      <c r="P70" s="21"/>
      <c r="Q70" s="21"/>
    </row>
    <row r="71" spans="4:17" x14ac:dyDescent="0.35">
      <c r="D71" s="2"/>
      <c r="E71" s="2"/>
      <c r="F71" s="2"/>
      <c r="G71" s="3"/>
      <c r="H71" s="3"/>
      <c r="I71" s="2"/>
      <c r="J71" s="2"/>
      <c r="K71" s="2"/>
      <c r="L71" s="4"/>
      <c r="M71" s="2"/>
      <c r="N71" s="2"/>
      <c r="O71" s="5"/>
      <c r="P71" s="21"/>
      <c r="Q71" s="21"/>
    </row>
    <row r="72" spans="4:17" x14ac:dyDescent="0.35">
      <c r="D72" s="2"/>
      <c r="E72" s="2"/>
      <c r="F72" s="2"/>
      <c r="G72" s="3"/>
      <c r="H72" s="3"/>
      <c r="I72" s="2"/>
      <c r="J72" s="2"/>
      <c r="K72" s="2"/>
      <c r="L72" s="4"/>
      <c r="M72" s="2"/>
      <c r="N72" s="2"/>
      <c r="O72" s="5"/>
      <c r="P72" s="21"/>
      <c r="Q72" s="21"/>
    </row>
    <row r="73" spans="4:17" x14ac:dyDescent="0.35">
      <c r="D73" s="2"/>
      <c r="E73" s="2"/>
      <c r="F73" s="2"/>
      <c r="G73" s="3"/>
      <c r="H73" s="3"/>
      <c r="I73" s="2"/>
      <c r="J73" s="2"/>
      <c r="K73" s="2"/>
      <c r="L73" s="4"/>
      <c r="M73" s="2"/>
      <c r="N73" s="2"/>
      <c r="O73" s="5"/>
      <c r="P73" s="21"/>
      <c r="Q73" s="21"/>
    </row>
    <row r="74" spans="4:17" x14ac:dyDescent="0.35">
      <c r="D74" s="2"/>
      <c r="E74" s="2"/>
      <c r="F74" s="2"/>
      <c r="G74" s="3"/>
      <c r="H74" s="3"/>
      <c r="I74" s="2"/>
      <c r="J74" s="2"/>
      <c r="K74" s="2"/>
      <c r="L74" s="4"/>
      <c r="M74" s="2"/>
      <c r="N74" s="2"/>
      <c r="O74" s="5"/>
      <c r="P74" s="21"/>
      <c r="Q74" s="21"/>
    </row>
    <row r="75" spans="4:17" x14ac:dyDescent="0.35">
      <c r="D75" s="2"/>
      <c r="E75" s="2"/>
      <c r="F75" s="2"/>
      <c r="G75" s="3"/>
      <c r="H75" s="3"/>
      <c r="I75" s="2"/>
      <c r="J75" s="2"/>
      <c r="K75" s="2"/>
      <c r="L75" s="4"/>
      <c r="M75" s="2"/>
      <c r="N75" s="2"/>
      <c r="O75" s="5"/>
      <c r="P75" s="21"/>
      <c r="Q75" s="21"/>
    </row>
    <row r="76" spans="4:17" x14ac:dyDescent="0.35">
      <c r="D76" s="2"/>
      <c r="E76" s="2"/>
      <c r="F76" s="2"/>
      <c r="G76" s="3"/>
      <c r="H76" s="3"/>
      <c r="I76" s="2"/>
      <c r="J76" s="2"/>
      <c r="K76" s="2"/>
      <c r="L76" s="4"/>
      <c r="M76" s="2"/>
      <c r="N76" s="2"/>
      <c r="O76" s="5"/>
      <c r="P76" s="21"/>
      <c r="Q76" s="21"/>
    </row>
    <row r="77" spans="4:17" x14ac:dyDescent="0.35">
      <c r="D77" s="2"/>
      <c r="E77" s="2"/>
      <c r="F77" s="2"/>
      <c r="G77" s="3"/>
      <c r="H77" s="3"/>
      <c r="I77" s="2"/>
      <c r="J77" s="2"/>
      <c r="K77" s="2"/>
      <c r="L77" s="4"/>
      <c r="M77" s="2"/>
      <c r="N77" s="2"/>
      <c r="O77" s="5"/>
      <c r="P77" s="21"/>
      <c r="Q77" s="21"/>
    </row>
    <row r="78" spans="4:17" x14ac:dyDescent="0.35">
      <c r="D78" s="2"/>
      <c r="E78" s="2"/>
      <c r="F78" s="2"/>
      <c r="G78" s="3"/>
      <c r="H78" s="3"/>
      <c r="I78" s="2"/>
      <c r="J78" s="2"/>
      <c r="K78" s="2"/>
      <c r="L78" s="4"/>
      <c r="M78" s="2"/>
      <c r="N78" s="2"/>
      <c r="O78" s="5"/>
      <c r="P78" s="21"/>
      <c r="Q78" s="21"/>
    </row>
    <row r="79" spans="4:17" x14ac:dyDescent="0.35">
      <c r="D79" s="2"/>
      <c r="E79" s="2"/>
      <c r="F79" s="2"/>
      <c r="G79" s="3"/>
      <c r="H79" s="3"/>
      <c r="I79" s="2"/>
      <c r="J79" s="2"/>
      <c r="K79" s="2"/>
      <c r="L79" s="4"/>
      <c r="M79" s="2"/>
      <c r="N79" s="2"/>
      <c r="O79" s="5"/>
      <c r="P79" s="21"/>
      <c r="Q79" s="21"/>
    </row>
    <row r="80" spans="4:17" x14ac:dyDescent="0.35">
      <c r="D80" s="2"/>
      <c r="E80" s="2"/>
      <c r="F80" s="2"/>
      <c r="G80" s="3"/>
      <c r="H80" s="3"/>
      <c r="I80" s="2"/>
      <c r="J80" s="2"/>
      <c r="K80" s="2"/>
      <c r="L80" s="4"/>
      <c r="M80" s="2"/>
      <c r="N80" s="2"/>
      <c r="O80" s="5"/>
      <c r="P80" s="21"/>
      <c r="Q80" s="21"/>
    </row>
    <row r="81" spans="4:17" x14ac:dyDescent="0.35">
      <c r="D81" s="2"/>
      <c r="E81" s="2"/>
      <c r="F81" s="2"/>
      <c r="G81" s="3"/>
      <c r="H81" s="3"/>
      <c r="I81" s="2"/>
      <c r="J81" s="2"/>
      <c r="K81" s="2"/>
      <c r="L81" s="4"/>
      <c r="M81" s="2"/>
      <c r="N81" s="2"/>
      <c r="O81" s="5"/>
      <c r="P81" s="21"/>
      <c r="Q81" s="21"/>
    </row>
    <row r="82" spans="4:17" x14ac:dyDescent="0.35">
      <c r="D82" s="2"/>
      <c r="E82" s="2"/>
      <c r="F82" s="2"/>
      <c r="G82" s="3"/>
      <c r="H82" s="3"/>
      <c r="I82" s="2"/>
      <c r="J82" s="2"/>
      <c r="K82" s="2"/>
      <c r="L82" s="4"/>
      <c r="M82" s="2"/>
      <c r="N82" s="2"/>
      <c r="O82" s="5"/>
      <c r="P82" s="21"/>
      <c r="Q82" s="21"/>
    </row>
    <row r="83" spans="4:17" x14ac:dyDescent="0.35">
      <c r="D83" s="2"/>
      <c r="E83" s="2"/>
      <c r="F83" s="2"/>
      <c r="G83" s="3"/>
      <c r="H83" s="3"/>
      <c r="I83" s="2"/>
      <c r="J83" s="2"/>
      <c r="K83" s="2"/>
      <c r="L83" s="4"/>
      <c r="M83" s="2"/>
      <c r="N83" s="2"/>
      <c r="O83" s="5"/>
      <c r="P83" s="21"/>
      <c r="Q83" s="21"/>
    </row>
    <row r="84" spans="4:17" x14ac:dyDescent="0.35">
      <c r="D84" s="2"/>
      <c r="E84" s="2"/>
      <c r="F84" s="2"/>
      <c r="G84" s="3"/>
      <c r="H84" s="3"/>
      <c r="I84" s="2"/>
      <c r="J84" s="2"/>
      <c r="K84" s="2"/>
      <c r="L84" s="4"/>
      <c r="M84" s="2"/>
      <c r="N84" s="2"/>
      <c r="O84" s="5"/>
      <c r="P84" s="21"/>
      <c r="Q84" s="21"/>
    </row>
    <row r="85" spans="4:17" x14ac:dyDescent="0.35">
      <c r="D85" s="2"/>
      <c r="E85" s="2"/>
      <c r="F85" s="2"/>
      <c r="G85" s="3"/>
      <c r="H85" s="3"/>
      <c r="I85" s="2"/>
      <c r="J85" s="2"/>
      <c r="K85" s="2"/>
      <c r="L85" s="4"/>
      <c r="M85" s="2"/>
      <c r="N85" s="2"/>
      <c r="O85" s="5"/>
      <c r="P85" s="21"/>
      <c r="Q85" s="21"/>
    </row>
    <row r="86" spans="4:17" x14ac:dyDescent="0.35">
      <c r="D86" s="2"/>
      <c r="E86" s="2"/>
      <c r="F86" s="2"/>
      <c r="G86" s="3"/>
      <c r="H86" s="3"/>
      <c r="I86" s="2"/>
      <c r="J86" s="2"/>
      <c r="K86" s="2"/>
      <c r="L86" s="4"/>
      <c r="M86" s="2"/>
      <c r="N86" s="2"/>
      <c r="O86" s="5"/>
      <c r="P86" s="21"/>
      <c r="Q86" s="21"/>
    </row>
    <row r="87" spans="4:17" x14ac:dyDescent="0.35">
      <c r="D87" s="2"/>
      <c r="E87" s="2"/>
      <c r="F87" s="2"/>
      <c r="G87" s="3"/>
      <c r="H87" s="3"/>
      <c r="I87" s="2"/>
      <c r="J87" s="2"/>
      <c r="K87" s="2"/>
      <c r="L87" s="4"/>
      <c r="M87" s="2"/>
      <c r="N87" s="2"/>
      <c r="O87" s="5"/>
      <c r="P87" s="21"/>
      <c r="Q87" s="21"/>
    </row>
    <row r="88" spans="4:17" x14ac:dyDescent="0.35">
      <c r="D88" s="2"/>
      <c r="E88" s="2"/>
      <c r="F88" s="2"/>
      <c r="G88" s="3"/>
      <c r="H88" s="3"/>
      <c r="I88" s="2"/>
      <c r="J88" s="2"/>
      <c r="K88" s="2"/>
      <c r="L88" s="4"/>
      <c r="M88" s="2"/>
      <c r="N88" s="2"/>
      <c r="O88" s="5"/>
      <c r="P88" s="21"/>
      <c r="Q88" s="21"/>
    </row>
    <row r="89" spans="4:17" x14ac:dyDescent="0.35">
      <c r="D89" s="2"/>
      <c r="E89" s="2"/>
      <c r="F89" s="2"/>
      <c r="G89" s="3"/>
      <c r="H89" s="3"/>
      <c r="I89" s="2"/>
      <c r="J89" s="2"/>
      <c r="K89" s="2"/>
      <c r="L89" s="4"/>
      <c r="M89" s="2"/>
      <c r="N89" s="2"/>
      <c r="O89" s="5"/>
      <c r="P89" s="21"/>
      <c r="Q89" s="21"/>
    </row>
    <row r="90" spans="4:17" x14ac:dyDescent="0.35">
      <c r="D90" s="2"/>
      <c r="E90" s="2"/>
      <c r="F90" s="2"/>
      <c r="G90" s="3"/>
      <c r="H90" s="3"/>
      <c r="I90" s="2"/>
      <c r="J90" s="2"/>
      <c r="K90" s="2"/>
      <c r="L90" s="4"/>
      <c r="M90" s="2"/>
      <c r="N90" s="2"/>
      <c r="O90" s="5"/>
      <c r="P90" s="21"/>
      <c r="Q90" s="21"/>
    </row>
    <row r="91" spans="4:17" x14ac:dyDescent="0.35">
      <c r="D91" s="2"/>
      <c r="E91" s="2"/>
      <c r="F91" s="2"/>
      <c r="G91" s="3"/>
      <c r="H91" s="3"/>
      <c r="I91" s="2"/>
      <c r="J91" s="2"/>
      <c r="K91" s="2"/>
      <c r="L91" s="4"/>
      <c r="M91" s="2"/>
      <c r="N91" s="2"/>
      <c r="O91" s="5"/>
      <c r="P91" s="21"/>
      <c r="Q91" s="21"/>
    </row>
    <row r="92" spans="4:17" x14ac:dyDescent="0.35">
      <c r="D92" s="2"/>
      <c r="E92" s="2"/>
      <c r="F92" s="2"/>
      <c r="G92" s="3"/>
      <c r="H92" s="3"/>
      <c r="I92" s="2"/>
      <c r="J92" s="2"/>
      <c r="K92" s="2"/>
      <c r="L92" s="4"/>
      <c r="M92" s="2"/>
      <c r="N92" s="2"/>
      <c r="O92" s="5"/>
      <c r="P92" s="21"/>
      <c r="Q92" s="21"/>
    </row>
    <row r="93" spans="4:17" x14ac:dyDescent="0.35">
      <c r="D93" s="2"/>
      <c r="E93" s="2"/>
      <c r="F93" s="2"/>
      <c r="G93" s="3"/>
      <c r="H93" s="3"/>
      <c r="I93" s="2"/>
      <c r="J93" s="2"/>
      <c r="K93" s="2"/>
      <c r="L93" s="4"/>
      <c r="M93" s="2"/>
      <c r="N93" s="2"/>
      <c r="O93" s="5"/>
      <c r="P93" s="21"/>
      <c r="Q93" s="21"/>
    </row>
    <row r="94" spans="4:17" x14ac:dyDescent="0.35">
      <c r="P94" s="21"/>
      <c r="Q94" s="21"/>
    </row>
    <row r="95" spans="4:17" x14ac:dyDescent="0.35">
      <c r="P95" s="21"/>
      <c r="Q95" s="21"/>
    </row>
    <row r="96" spans="4:17" x14ac:dyDescent="0.35">
      <c r="P96" s="21"/>
      <c r="Q96" s="21"/>
    </row>
    <row r="97" spans="16:17" x14ac:dyDescent="0.35">
      <c r="P97" s="21"/>
      <c r="Q97" s="21"/>
    </row>
    <row r="98" spans="16:17" x14ac:dyDescent="0.35">
      <c r="P98" s="21"/>
      <c r="Q98" s="21"/>
    </row>
    <row r="99" spans="16:17" x14ac:dyDescent="0.35">
      <c r="P99" s="21"/>
      <c r="Q99" s="21"/>
    </row>
    <row r="100" spans="16:17" x14ac:dyDescent="0.35">
      <c r="P100" s="21"/>
      <c r="Q100" s="21"/>
    </row>
    <row r="101" spans="16:17" x14ac:dyDescent="0.35">
      <c r="P101" s="21"/>
      <c r="Q101" s="21"/>
    </row>
    <row r="102" spans="16:17" x14ac:dyDescent="0.35">
      <c r="P102" s="21"/>
      <c r="Q102" s="21"/>
    </row>
    <row r="103" spans="16:17" x14ac:dyDescent="0.35">
      <c r="P103" s="21"/>
      <c r="Q103" s="21"/>
    </row>
    <row r="104" spans="16:17" x14ac:dyDescent="0.35">
      <c r="P104" s="21"/>
      <c r="Q104" s="21"/>
    </row>
    <row r="105" spans="16:17" x14ac:dyDescent="0.35">
      <c r="P105" s="21"/>
      <c r="Q105" s="21"/>
    </row>
    <row r="106" spans="16:17" x14ac:dyDescent="0.35">
      <c r="P106" s="21"/>
      <c r="Q106" s="21"/>
    </row>
    <row r="107" spans="16:17" x14ac:dyDescent="0.35">
      <c r="P107" s="21"/>
      <c r="Q107" s="21"/>
    </row>
    <row r="108" spans="16:17" x14ac:dyDescent="0.35">
      <c r="P108" s="21"/>
      <c r="Q108" s="21"/>
    </row>
    <row r="109" spans="16:17" x14ac:dyDescent="0.35">
      <c r="P109" s="21"/>
      <c r="Q109" s="21"/>
    </row>
    <row r="241" spans="3:3" x14ac:dyDescent="0.35">
      <c r="C241" s="1">
        <v>272</v>
      </c>
    </row>
    <row r="242" spans="3:3" x14ac:dyDescent="0.35">
      <c r="C242" s="1">
        <v>272</v>
      </c>
    </row>
    <row r="243" spans="3:3" x14ac:dyDescent="0.35">
      <c r="C243" s="1">
        <v>272</v>
      </c>
    </row>
    <row r="244" spans="3:3" x14ac:dyDescent="0.35">
      <c r="C244" s="1">
        <v>272</v>
      </c>
    </row>
    <row r="245" spans="3:3" x14ac:dyDescent="0.35">
      <c r="C245" s="1">
        <v>272</v>
      </c>
    </row>
    <row r="246" spans="3:3" x14ac:dyDescent="0.35">
      <c r="C246" s="1">
        <v>272</v>
      </c>
    </row>
    <row r="247" spans="3:3" x14ac:dyDescent="0.35">
      <c r="C247" s="1">
        <v>272</v>
      </c>
    </row>
    <row r="248" spans="3:3" x14ac:dyDescent="0.35">
      <c r="C248" s="1">
        <v>272</v>
      </c>
    </row>
    <row r="249" spans="3:3" x14ac:dyDescent="0.35">
      <c r="C249" s="1">
        <v>272</v>
      </c>
    </row>
    <row r="250" spans="3:3" x14ac:dyDescent="0.35">
      <c r="C250" s="1">
        <v>272</v>
      </c>
    </row>
    <row r="251" spans="3:3" x14ac:dyDescent="0.35">
      <c r="C251" s="1">
        <v>272</v>
      </c>
    </row>
    <row r="252" spans="3:3" x14ac:dyDescent="0.35">
      <c r="C252" s="1">
        <v>272</v>
      </c>
    </row>
    <row r="253" spans="3:3" x14ac:dyDescent="0.35">
      <c r="C253" s="1">
        <v>272</v>
      </c>
    </row>
    <row r="254" spans="3:3" x14ac:dyDescent="0.35">
      <c r="C254" s="1">
        <v>272</v>
      </c>
    </row>
    <row r="255" spans="3:3" x14ac:dyDescent="0.35">
      <c r="C255" s="1">
        <v>272</v>
      </c>
    </row>
    <row r="256" spans="3:3" x14ac:dyDescent="0.35">
      <c r="C256" s="1">
        <v>272</v>
      </c>
    </row>
    <row r="257" spans="3:3" x14ac:dyDescent="0.35">
      <c r="C257" s="1">
        <v>162</v>
      </c>
    </row>
  </sheetData>
  <mergeCells count="40">
    <mergeCell ref="A16:C16"/>
    <mergeCell ref="A17:C17"/>
    <mergeCell ref="D24:D25"/>
    <mergeCell ref="C24:C25"/>
    <mergeCell ref="B24:B25"/>
    <mergeCell ref="M22:N23"/>
    <mergeCell ref="J24:J25"/>
    <mergeCell ref="I24:I25"/>
    <mergeCell ref="H24:H25"/>
    <mergeCell ref="G24:G25"/>
    <mergeCell ref="F24:F25"/>
    <mergeCell ref="E24:E25"/>
    <mergeCell ref="P24:P25"/>
    <mergeCell ref="Q24:Q25"/>
    <mergeCell ref="N24:N25"/>
    <mergeCell ref="M24:M25"/>
    <mergeCell ref="K24:K25"/>
    <mergeCell ref="A5:B5"/>
    <mergeCell ref="E6:F6"/>
    <mergeCell ref="E7:F7"/>
    <mergeCell ref="E8:F8"/>
    <mergeCell ref="E9:F9"/>
    <mergeCell ref="E10:F10"/>
    <mergeCell ref="A13:C13"/>
    <mergeCell ref="A15:C15"/>
    <mergeCell ref="I6:K6"/>
    <mergeCell ref="I7:K7"/>
    <mergeCell ref="E11:F11"/>
    <mergeCell ref="A14:C14"/>
    <mergeCell ref="I8:K8"/>
    <mergeCell ref="I9:K9"/>
    <mergeCell ref="I10:K10"/>
    <mergeCell ref="R22:T23"/>
    <mergeCell ref="Y24:Y25"/>
    <mergeCell ref="Z24:Z25"/>
    <mergeCell ref="R24:R25"/>
    <mergeCell ref="S24:S25"/>
    <mergeCell ref="T24:T25"/>
    <mergeCell ref="V24:V25"/>
    <mergeCell ref="W24:W25"/>
  </mergeCells>
  <phoneticPr fontId="17" type="noConversion"/>
  <pageMargins left="0.5" right="0.58333333333333337" top="0.5" bottom="0.5" header="0" footer="0"/>
  <pageSetup orientation="landscape" horizontalDpi="4294967292" verticalDpi="4294967292"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7" r:id="rId4" name="Button 3">
              <controlPr defaultSize="0" print="0" autoFill="0" autoPict="0" macro="[0]!Button3_Click">
                <anchor moveWithCells="1" sizeWithCells="1">
                  <from>
                    <xdr:col>15</xdr:col>
                    <xdr:colOff>558800</xdr:colOff>
                    <xdr:row>1</xdr:row>
                    <xdr:rowOff>165100</xdr:rowOff>
                  </from>
                  <to>
                    <xdr:col>17</xdr:col>
                    <xdr:colOff>146050</xdr:colOff>
                    <xdr:row>4</xdr:row>
                    <xdr:rowOff>101600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52"/>
  <sheetViews>
    <sheetView showGridLines="0" topLeftCell="A38" zoomScale="60" zoomScaleNormal="60" workbookViewId="0">
      <selection activeCell="B14" sqref="B14:J14"/>
    </sheetView>
  </sheetViews>
  <sheetFormatPr baseColWidth="10" defaultColWidth="9.69140625" defaultRowHeight="15.5" x14ac:dyDescent="0.35"/>
  <cols>
    <col min="1" max="1" width="2.69140625" style="1" customWidth="1"/>
    <col min="2" max="2" width="14.07421875" style="1" customWidth="1"/>
    <col min="3" max="3" width="9.69140625" style="1" customWidth="1"/>
    <col min="4" max="4" width="16.23046875" style="1" customWidth="1"/>
    <col min="5" max="5" width="9.69140625" style="1" customWidth="1"/>
    <col min="6" max="6" width="5.23046875" style="1" customWidth="1"/>
    <col min="7" max="7" width="28.4609375" style="1" customWidth="1"/>
    <col min="8" max="8" width="19.07421875" style="1" customWidth="1"/>
    <col min="9" max="9" width="20.53515625" style="1" customWidth="1"/>
    <col min="10" max="10" width="85.69140625" style="1" customWidth="1"/>
    <col min="11" max="18" width="9.69140625" style="1"/>
    <col min="19" max="21" width="0" style="1" hidden="1" customWidth="1"/>
    <col min="22" max="16384" width="9.69140625" style="1"/>
  </cols>
  <sheetData>
    <row r="1" spans="2:21" ht="18" x14ac:dyDescent="0.5">
      <c r="B1" s="61" t="s">
        <v>96</v>
      </c>
    </row>
    <row r="2" spans="2:21" ht="33.5" x14ac:dyDescent="0.95">
      <c r="D2" s="15"/>
      <c r="E2" s="15"/>
      <c r="F2" s="15"/>
      <c r="G2" s="15"/>
      <c r="H2" s="15"/>
      <c r="I2" s="60" t="s">
        <v>8</v>
      </c>
      <c r="J2" s="26"/>
      <c r="S2" s="1" t="s">
        <v>37</v>
      </c>
      <c r="T2" s="1" t="s">
        <v>0</v>
      </c>
      <c r="U2" s="1" t="s">
        <v>68</v>
      </c>
    </row>
    <row r="3" spans="2:21" ht="16" thickBot="1" x14ac:dyDescent="0.4">
      <c r="S3" s="1" t="s">
        <v>38</v>
      </c>
      <c r="T3" s="1" t="s">
        <v>31</v>
      </c>
      <c r="U3" s="1" t="s">
        <v>69</v>
      </c>
    </row>
    <row r="4" spans="2:21" ht="18.5" thickBot="1" x14ac:dyDescent="0.4">
      <c r="B4" s="214" t="s">
        <v>79</v>
      </c>
      <c r="C4" s="215"/>
      <c r="D4" s="215"/>
      <c r="E4" s="215"/>
      <c r="F4" s="215"/>
      <c r="G4" s="215"/>
      <c r="H4" s="215"/>
      <c r="I4" s="215"/>
      <c r="J4" s="216"/>
      <c r="S4" s="1" t="s">
        <v>39</v>
      </c>
    </row>
    <row r="5" spans="2:21" ht="18.5" thickBot="1" x14ac:dyDescent="0.55000000000000004">
      <c r="B5" s="217" t="s">
        <v>41</v>
      </c>
      <c r="C5" s="218"/>
      <c r="D5" s="218"/>
      <c r="E5" s="218"/>
      <c r="F5" s="218"/>
      <c r="G5" s="218"/>
      <c r="H5" s="218"/>
      <c r="I5" s="218"/>
      <c r="J5" s="219"/>
      <c r="S5" s="1" t="s">
        <v>40</v>
      </c>
    </row>
    <row r="6" spans="2:21" ht="18.5" thickBot="1" x14ac:dyDescent="0.4">
      <c r="B6" s="234" t="s">
        <v>80</v>
      </c>
      <c r="C6" s="235"/>
      <c r="D6" s="236"/>
      <c r="E6" s="231" t="s">
        <v>81</v>
      </c>
      <c r="F6" s="232"/>
      <c r="G6" s="232"/>
      <c r="H6" s="233"/>
      <c r="I6" s="234" t="s">
        <v>87</v>
      </c>
      <c r="J6" s="236"/>
      <c r="S6" s="1" t="s">
        <v>41</v>
      </c>
    </row>
    <row r="7" spans="2:21" ht="18.5" thickBot="1" x14ac:dyDescent="0.55000000000000004">
      <c r="B7" s="228"/>
      <c r="C7" s="229"/>
      <c r="D7" s="229"/>
      <c r="E7" s="224"/>
      <c r="F7" s="225"/>
      <c r="G7" s="225"/>
      <c r="H7" s="227"/>
      <c r="I7" s="220"/>
      <c r="J7" s="221"/>
      <c r="S7" s="1" t="s">
        <v>42</v>
      </c>
    </row>
    <row r="8" spans="2:21" ht="18.5" thickBot="1" x14ac:dyDescent="0.55000000000000004">
      <c r="B8" s="43"/>
      <c r="C8" s="44"/>
      <c r="D8" s="44"/>
      <c r="E8" s="44"/>
      <c r="F8" s="44"/>
      <c r="G8" s="44"/>
      <c r="H8" s="44"/>
      <c r="I8" s="44"/>
      <c r="J8" s="45"/>
      <c r="S8" s="1" t="s">
        <v>43</v>
      </c>
    </row>
    <row r="9" spans="2:21" ht="18.5" thickBot="1" x14ac:dyDescent="0.4">
      <c r="B9" s="234" t="s">
        <v>82</v>
      </c>
      <c r="C9" s="235"/>
      <c r="D9" s="236"/>
      <c r="E9" s="231" t="s">
        <v>83</v>
      </c>
      <c r="F9" s="232"/>
      <c r="G9" s="232"/>
      <c r="H9" s="233"/>
      <c r="I9" s="234" t="s">
        <v>84</v>
      </c>
      <c r="J9" s="236"/>
      <c r="S9" s="1" t="s">
        <v>44</v>
      </c>
    </row>
    <row r="10" spans="2:21" ht="18.5" thickBot="1" x14ac:dyDescent="0.55000000000000004">
      <c r="B10" s="230"/>
      <c r="C10" s="222"/>
      <c r="D10" s="222"/>
      <c r="E10" s="224"/>
      <c r="F10" s="225"/>
      <c r="G10" s="225"/>
      <c r="H10" s="227"/>
      <c r="I10" s="222"/>
      <c r="J10" s="223"/>
      <c r="S10" s="1" t="s">
        <v>45</v>
      </c>
    </row>
    <row r="11" spans="2:21" ht="18.5" thickBot="1" x14ac:dyDescent="0.55000000000000004">
      <c r="B11" s="224"/>
      <c r="C11" s="225"/>
      <c r="D11" s="225"/>
      <c r="E11" s="226"/>
      <c r="F11" s="226"/>
      <c r="G11" s="226"/>
      <c r="H11" s="226"/>
      <c r="I11" s="225"/>
      <c r="J11" s="227"/>
      <c r="S11" s="1" t="s">
        <v>46</v>
      </c>
    </row>
    <row r="12" spans="2:21" ht="15.75" customHeight="1" thickBot="1" x14ac:dyDescent="0.4">
      <c r="B12" s="234" t="s">
        <v>85</v>
      </c>
      <c r="C12" s="235"/>
      <c r="D12" s="236"/>
      <c r="E12" s="248" t="s">
        <v>86</v>
      </c>
      <c r="F12" s="249"/>
      <c r="G12" s="249"/>
      <c r="H12" s="249"/>
      <c r="I12" s="249"/>
      <c r="J12" s="250"/>
      <c r="S12" s="1" t="s">
        <v>47</v>
      </c>
    </row>
    <row r="13" spans="2:21" ht="18.5" thickBot="1" x14ac:dyDescent="0.55000000000000004">
      <c r="B13" s="228" t="s">
        <v>69</v>
      </c>
      <c r="C13" s="229"/>
      <c r="D13" s="229"/>
      <c r="E13" s="251" t="str">
        <f>IF(B13="Manual Bid","N/A",IF(B13="","Select on the left field if RTD Available or Manual Bid","Add RTD Number"))</f>
        <v>N/A</v>
      </c>
      <c r="F13" s="252"/>
      <c r="G13" s="252"/>
      <c r="H13" s="252"/>
      <c r="I13" s="252"/>
      <c r="J13" s="253"/>
      <c r="S13" s="1" t="s">
        <v>48</v>
      </c>
    </row>
    <row r="14" spans="2:21" ht="18.5" thickBot="1" x14ac:dyDescent="0.55000000000000004">
      <c r="B14" s="224"/>
      <c r="C14" s="225"/>
      <c r="D14" s="225"/>
      <c r="E14" s="225"/>
      <c r="F14" s="225"/>
      <c r="G14" s="225"/>
      <c r="H14" s="225"/>
      <c r="I14" s="225"/>
      <c r="J14" s="227"/>
      <c r="S14" s="1" t="s">
        <v>49</v>
      </c>
    </row>
    <row r="15" spans="2:21" ht="16.25" hidden="1" customHeight="1" thickBot="1" x14ac:dyDescent="0.55000000000000004">
      <c r="B15" s="46" t="s">
        <v>9</v>
      </c>
      <c r="C15" s="47"/>
      <c r="D15" s="47"/>
      <c r="E15" s="48" t="s">
        <v>21</v>
      </c>
      <c r="F15" s="47"/>
      <c r="G15" s="48" t="s">
        <v>26</v>
      </c>
      <c r="H15" s="49"/>
      <c r="I15" s="47"/>
      <c r="J15" s="50" t="s">
        <v>2</v>
      </c>
      <c r="S15" s="1" t="s">
        <v>50</v>
      </c>
    </row>
    <row r="16" spans="2:21" ht="16.25" hidden="1" customHeight="1" thickBot="1" x14ac:dyDescent="0.55000000000000004">
      <c r="B16" s="51"/>
      <c r="C16" s="52"/>
      <c r="D16" s="52"/>
      <c r="E16" s="53" t="s">
        <v>22</v>
      </c>
      <c r="F16" s="52"/>
      <c r="G16" s="53" t="s">
        <v>27</v>
      </c>
      <c r="H16" s="54"/>
      <c r="I16" s="52"/>
      <c r="J16" s="55" t="s">
        <v>3</v>
      </c>
      <c r="S16" s="1" t="s">
        <v>51</v>
      </c>
    </row>
    <row r="17" spans="1:19" ht="16.25" hidden="1" customHeight="1" thickBot="1" x14ac:dyDescent="0.55000000000000004">
      <c r="B17" s="56"/>
      <c r="C17" s="52"/>
      <c r="D17" s="52"/>
      <c r="E17" s="53" t="s">
        <v>23</v>
      </c>
      <c r="F17" s="52"/>
      <c r="G17" s="53" t="s">
        <v>28</v>
      </c>
      <c r="H17" s="54"/>
      <c r="I17" s="52"/>
      <c r="J17" s="55"/>
      <c r="S17" s="1" t="s">
        <v>52</v>
      </c>
    </row>
    <row r="18" spans="1:19" ht="16.25" hidden="1" customHeight="1" thickBot="1" x14ac:dyDescent="0.55000000000000004">
      <c r="B18" s="266"/>
      <c r="C18" s="267"/>
      <c r="D18" s="268"/>
      <c r="E18" s="57"/>
      <c r="F18" s="58"/>
      <c r="G18" s="57"/>
      <c r="H18" s="58"/>
      <c r="I18" s="58"/>
      <c r="J18" s="59"/>
      <c r="S18" s="1" t="s">
        <v>53</v>
      </c>
    </row>
    <row r="19" spans="1:19" ht="18.5" thickBot="1" x14ac:dyDescent="0.4">
      <c r="B19" s="254" t="s">
        <v>78</v>
      </c>
      <c r="C19" s="255"/>
      <c r="D19" s="255"/>
      <c r="E19" s="255"/>
      <c r="F19" s="255"/>
      <c r="G19" s="255"/>
      <c r="H19" s="255"/>
      <c r="I19" s="255"/>
      <c r="J19" s="256"/>
      <c r="S19" s="1" t="s">
        <v>50</v>
      </c>
    </row>
    <row r="20" spans="1:19" x14ac:dyDescent="0.35">
      <c r="B20" s="257"/>
      <c r="C20" s="258"/>
      <c r="D20" s="258"/>
      <c r="E20" s="258"/>
      <c r="F20" s="258"/>
      <c r="G20" s="258"/>
      <c r="H20" s="258"/>
      <c r="I20" s="258"/>
      <c r="J20" s="259"/>
      <c r="S20" s="1" t="s">
        <v>51</v>
      </c>
    </row>
    <row r="21" spans="1:19" ht="16" thickBot="1" x14ac:dyDescent="0.4">
      <c r="B21" s="260"/>
      <c r="C21" s="261"/>
      <c r="D21" s="261"/>
      <c r="E21" s="261"/>
      <c r="F21" s="261"/>
      <c r="G21" s="261"/>
      <c r="H21" s="261"/>
      <c r="I21" s="261"/>
      <c r="J21" s="262"/>
      <c r="S21" s="1" t="s">
        <v>52</v>
      </c>
    </row>
    <row r="22" spans="1:19" ht="23.25" customHeight="1" thickBot="1" x14ac:dyDescent="0.4">
      <c r="B22" s="263" t="s">
        <v>30</v>
      </c>
      <c r="C22" s="264"/>
      <c r="D22" s="264"/>
      <c r="E22" s="264"/>
      <c r="F22" s="264"/>
      <c r="G22" s="264"/>
      <c r="H22" s="264"/>
      <c r="I22" s="264"/>
      <c r="J22" s="265"/>
      <c r="S22" s="1" t="s">
        <v>53</v>
      </c>
    </row>
    <row r="23" spans="1:19" ht="26" customHeight="1" thickBot="1" x14ac:dyDescent="0.85">
      <c r="A23" s="23"/>
      <c r="B23" s="192" t="s">
        <v>32</v>
      </c>
      <c r="C23" s="193"/>
      <c r="D23" s="193"/>
      <c r="E23" s="193"/>
      <c r="F23" s="193"/>
      <c r="G23" s="193"/>
      <c r="H23" s="193"/>
      <c r="I23" s="27"/>
      <c r="J23" s="28" t="s">
        <v>4</v>
      </c>
    </row>
    <row r="24" spans="1:19" ht="56" customHeight="1" thickBot="1" x14ac:dyDescent="0.55000000000000004">
      <c r="A24" s="24"/>
      <c r="B24" s="208" t="s">
        <v>92</v>
      </c>
      <c r="C24" s="209"/>
      <c r="D24" s="209"/>
      <c r="E24" s="209"/>
      <c r="F24" s="209"/>
      <c r="G24" s="210"/>
      <c r="H24" s="203" t="s">
        <v>31</v>
      </c>
      <c r="I24" s="30"/>
      <c r="J24" s="31" t="s">
        <v>59</v>
      </c>
    </row>
    <row r="25" spans="1:19" ht="49.25" customHeight="1" thickBot="1" x14ac:dyDescent="0.55000000000000004">
      <c r="A25" s="24"/>
      <c r="B25" s="194" t="str">
        <f>IF(H24="no","",IF(H24="yes","If yes (no competitive bid), provide the reason and describe the Request for Proposal or Quote, or any other information in the Justification space below. If available, attach the RFP/RFQ. This input helps ensure that public procurement laws are followed.", ""))</f>
        <v/>
      </c>
      <c r="C25" s="195"/>
      <c r="D25" s="195"/>
      <c r="E25" s="195"/>
      <c r="F25" s="195"/>
      <c r="G25" s="196"/>
      <c r="H25" s="204"/>
      <c r="I25" s="30"/>
      <c r="J25" s="29" t="s">
        <v>31</v>
      </c>
    </row>
    <row r="26" spans="1:19" ht="55.5" customHeight="1" thickBot="1" x14ac:dyDescent="0.55000000000000004">
      <c r="A26" s="24"/>
      <c r="B26" s="208" t="s">
        <v>93</v>
      </c>
      <c r="C26" s="209"/>
      <c r="D26" s="209"/>
      <c r="E26" s="209"/>
      <c r="F26" s="209"/>
      <c r="G26" s="210"/>
      <c r="H26" s="203" t="s">
        <v>31</v>
      </c>
      <c r="I26" s="30"/>
      <c r="J26" s="31" t="s">
        <v>60</v>
      </c>
    </row>
    <row r="27" spans="1:19" ht="48.5" customHeight="1" thickBot="1" x14ac:dyDescent="0.55000000000000004">
      <c r="A27" s="24"/>
      <c r="B27" s="197" t="str">
        <f>IF(H26="no","",IF(H26="yes","If yes to either, provide the reason in the Justification space below.", ""))</f>
        <v/>
      </c>
      <c r="C27" s="198"/>
      <c r="D27" s="198"/>
      <c r="E27" s="198"/>
      <c r="F27" s="198"/>
      <c r="G27" s="199"/>
      <c r="H27" s="204"/>
      <c r="I27" s="30"/>
      <c r="J27" s="29" t="s">
        <v>31</v>
      </c>
    </row>
    <row r="28" spans="1:19" ht="56" customHeight="1" thickBot="1" x14ac:dyDescent="0.55000000000000004">
      <c r="A28" s="24"/>
      <c r="B28" s="205" t="s">
        <v>94</v>
      </c>
      <c r="C28" s="206"/>
      <c r="D28" s="206"/>
      <c r="E28" s="206"/>
      <c r="F28" s="206"/>
      <c r="G28" s="207"/>
      <c r="H28" s="203" t="s">
        <v>31</v>
      </c>
      <c r="I28" s="30"/>
      <c r="J28" s="32" t="s">
        <v>62</v>
      </c>
    </row>
    <row r="29" spans="1:19" ht="50" customHeight="1" thickBot="1" x14ac:dyDescent="0.55000000000000004">
      <c r="A29" s="24"/>
      <c r="B29" s="200" t="str">
        <f>IF(H28="no","",IF(H28="yes","If yes, identify the party that has the objection and the reason in the Justification space below.", ""))</f>
        <v/>
      </c>
      <c r="C29" s="201"/>
      <c r="D29" s="201"/>
      <c r="E29" s="201"/>
      <c r="F29" s="201"/>
      <c r="G29" s="202"/>
      <c r="H29" s="204"/>
      <c r="I29" s="30"/>
      <c r="J29" s="29" t="s">
        <v>31</v>
      </c>
    </row>
    <row r="30" spans="1:19" ht="58.5" customHeight="1" thickBot="1" x14ac:dyDescent="0.55000000000000004">
      <c r="A30" s="24"/>
      <c r="B30" s="205" t="s">
        <v>90</v>
      </c>
      <c r="C30" s="206"/>
      <c r="D30" s="206"/>
      <c r="E30" s="206"/>
      <c r="F30" s="206"/>
      <c r="G30" s="207"/>
      <c r="H30" s="203" t="s">
        <v>31</v>
      </c>
      <c r="I30" s="30"/>
      <c r="J30" s="32" t="s">
        <v>61</v>
      </c>
    </row>
    <row r="31" spans="1:19" ht="49.5" customHeight="1" thickBot="1" x14ac:dyDescent="0.55000000000000004">
      <c r="A31" s="24"/>
      <c r="B31" s="200" t="str">
        <f>IF(H30="no","",IF(H30="yes","If yes identify who will make the payment and the reason in the Justification space below.", ""))</f>
        <v/>
      </c>
      <c r="C31" s="201"/>
      <c r="D31" s="201"/>
      <c r="E31" s="201"/>
      <c r="F31" s="201"/>
      <c r="G31" s="202"/>
      <c r="H31" s="204"/>
      <c r="I31" s="30"/>
      <c r="J31" s="29" t="s">
        <v>31</v>
      </c>
    </row>
    <row r="32" spans="1:19" ht="55.5" customHeight="1" thickBot="1" x14ac:dyDescent="0.55000000000000004">
      <c r="A32" s="24"/>
      <c r="B32" s="205" t="s">
        <v>91</v>
      </c>
      <c r="C32" s="206"/>
      <c r="D32" s="206"/>
      <c r="E32" s="206"/>
      <c r="F32" s="206"/>
      <c r="G32" s="207"/>
      <c r="H32" s="203" t="s">
        <v>31</v>
      </c>
      <c r="I32" s="30"/>
      <c r="J32" s="32" t="s">
        <v>63</v>
      </c>
    </row>
    <row r="33" spans="1:12" ht="50.75" customHeight="1" thickBot="1" x14ac:dyDescent="0.55000000000000004">
      <c r="A33" s="24"/>
      <c r="B33" s="269"/>
      <c r="C33" s="270"/>
      <c r="D33" s="270"/>
      <c r="E33" s="270"/>
      <c r="F33" s="270"/>
      <c r="G33" s="271"/>
      <c r="H33" s="204"/>
      <c r="I33" s="30"/>
      <c r="J33" s="29" t="s">
        <v>31</v>
      </c>
    </row>
    <row r="34" spans="1:12" ht="57.5" customHeight="1" thickBot="1" x14ac:dyDescent="0.55000000000000004">
      <c r="A34" s="24"/>
      <c r="B34" s="205" t="s">
        <v>95</v>
      </c>
      <c r="C34" s="206"/>
      <c r="D34" s="206"/>
      <c r="E34" s="206"/>
      <c r="F34" s="206"/>
      <c r="G34" s="207"/>
      <c r="H34" s="203" t="s">
        <v>31</v>
      </c>
      <c r="I34" s="30"/>
      <c r="J34" s="31" t="s">
        <v>54</v>
      </c>
    </row>
    <row r="35" spans="1:12" ht="58.5" customHeight="1" thickBot="1" x14ac:dyDescent="0.55000000000000004">
      <c r="A35" s="24"/>
      <c r="B35" s="211" t="str">
        <f>IF(H34="no","",IF(H34="yes","If yes describe the full RTM, including entity names. Provide detailed explanations for any additional tiers, including their role or value add. Please provide in the Justification space below.", ""))</f>
        <v/>
      </c>
      <c r="C35" s="212"/>
      <c r="D35" s="212"/>
      <c r="E35" s="212"/>
      <c r="F35" s="212"/>
      <c r="G35" s="213"/>
      <c r="H35" s="204"/>
      <c r="I35" s="30"/>
      <c r="J35" s="33" t="s">
        <v>31</v>
      </c>
      <c r="L35" s="136"/>
    </row>
    <row r="36" spans="1:12" ht="63.5" customHeight="1" thickBot="1" x14ac:dyDescent="0.55000000000000004">
      <c r="A36" s="24"/>
      <c r="B36" s="237" t="str">
        <f>IF(OR(H24="Yes",H26="Yes",H28="Yes",H30="Yes",H32="Yes",H34="Yes"), "GOE Justification","")</f>
        <v/>
      </c>
      <c r="C36" s="238"/>
      <c r="D36" s="238"/>
      <c r="E36" s="238"/>
      <c r="F36" s="238"/>
      <c r="G36" s="238"/>
      <c r="H36" s="238"/>
      <c r="I36" s="30"/>
      <c r="J36" s="31" t="s">
        <v>55</v>
      </c>
    </row>
    <row r="37" spans="1:12" ht="56" customHeight="1" thickBot="1" x14ac:dyDescent="0.55000000000000004">
      <c r="A37" s="137"/>
      <c r="B37" s="239"/>
      <c r="C37" s="240"/>
      <c r="D37" s="240"/>
      <c r="E37" s="240"/>
      <c r="F37" s="240"/>
      <c r="G37" s="240"/>
      <c r="H37" s="241"/>
      <c r="I37" s="30"/>
      <c r="J37" s="29" t="s">
        <v>31</v>
      </c>
    </row>
    <row r="38" spans="1:12" ht="41.75" customHeight="1" thickBot="1" x14ac:dyDescent="0.55000000000000004">
      <c r="A38" s="137"/>
      <c r="B38" s="242"/>
      <c r="C38" s="243"/>
      <c r="D38" s="243"/>
      <c r="E38" s="243"/>
      <c r="F38" s="243"/>
      <c r="G38" s="243"/>
      <c r="H38" s="244"/>
      <c r="I38" s="30"/>
      <c r="J38" s="32" t="s">
        <v>56</v>
      </c>
    </row>
    <row r="39" spans="1:12" ht="54.5" customHeight="1" thickBot="1" x14ac:dyDescent="0.55000000000000004">
      <c r="A39" s="24"/>
      <c r="B39" s="242"/>
      <c r="C39" s="243"/>
      <c r="D39" s="243"/>
      <c r="E39" s="243"/>
      <c r="F39" s="243"/>
      <c r="G39" s="243"/>
      <c r="H39" s="244"/>
      <c r="I39" s="30"/>
      <c r="J39" s="33" t="s">
        <v>31</v>
      </c>
    </row>
    <row r="40" spans="1:12" ht="36.5" customHeight="1" thickBot="1" x14ac:dyDescent="0.55000000000000004">
      <c r="A40" s="24"/>
      <c r="B40" s="242"/>
      <c r="C40" s="243"/>
      <c r="D40" s="243"/>
      <c r="E40" s="243"/>
      <c r="F40" s="243"/>
      <c r="G40" s="243"/>
      <c r="H40" s="244"/>
      <c r="I40" s="30"/>
      <c r="J40" s="32" t="s">
        <v>57</v>
      </c>
    </row>
    <row r="41" spans="1:12" ht="57" customHeight="1" thickBot="1" x14ac:dyDescent="0.55000000000000004">
      <c r="A41" s="24"/>
      <c r="B41" s="242"/>
      <c r="C41" s="243"/>
      <c r="D41" s="243"/>
      <c r="E41" s="243"/>
      <c r="F41" s="243"/>
      <c r="G41" s="243"/>
      <c r="H41" s="244"/>
      <c r="I41" s="30"/>
      <c r="J41" s="29" t="s">
        <v>31</v>
      </c>
    </row>
    <row r="42" spans="1:12" ht="62" customHeight="1" thickBot="1" x14ac:dyDescent="0.55000000000000004">
      <c r="A42" s="24"/>
      <c r="B42" s="245"/>
      <c r="C42" s="246"/>
      <c r="D42" s="246"/>
      <c r="E42" s="246"/>
      <c r="F42" s="246"/>
      <c r="G42" s="246"/>
      <c r="H42" s="247"/>
      <c r="I42" s="30"/>
      <c r="J42" s="34" t="s">
        <v>58</v>
      </c>
    </row>
    <row r="43" spans="1:12" ht="54" customHeight="1" thickBot="1" x14ac:dyDescent="0.55000000000000004">
      <c r="A43" s="24"/>
      <c r="B43" s="36"/>
      <c r="C43" s="35"/>
      <c r="D43" s="35"/>
      <c r="E43" s="35"/>
      <c r="F43" s="35"/>
      <c r="G43" s="30"/>
      <c r="H43" s="37"/>
      <c r="I43" s="30"/>
      <c r="J43" s="29" t="s">
        <v>31</v>
      </c>
    </row>
    <row r="44" spans="1:12" ht="19.25" customHeight="1" thickBot="1" x14ac:dyDescent="0.55000000000000004">
      <c r="A44" s="24"/>
      <c r="B44" s="38"/>
      <c r="C44" s="39"/>
      <c r="D44" s="39"/>
      <c r="E44" s="39"/>
      <c r="F44" s="39"/>
      <c r="G44" s="40"/>
      <c r="H44" s="41"/>
      <c r="I44" s="39"/>
      <c r="J44" s="42"/>
    </row>
    <row r="45" spans="1:12" ht="19.5" customHeight="1" x14ac:dyDescent="0.35">
      <c r="A45" s="24"/>
    </row>
    <row r="46" spans="1:12" ht="16.5" customHeight="1" x14ac:dyDescent="0.35">
      <c r="A46" s="25"/>
    </row>
    <row r="47" spans="1:12" x14ac:dyDescent="0.35">
      <c r="A47" s="25"/>
    </row>
    <row r="48" spans="1:12" x14ac:dyDescent="0.35">
      <c r="A48" s="25"/>
    </row>
    <row r="49" spans="1:1" ht="16.5" customHeight="1" x14ac:dyDescent="0.35">
      <c r="A49" s="24"/>
    </row>
    <row r="50" spans="1:1" ht="33.75" customHeight="1" x14ac:dyDescent="0.35">
      <c r="A50" s="24"/>
    </row>
    <row r="51" spans="1:1" x14ac:dyDescent="0.35">
      <c r="A51" s="24"/>
    </row>
    <row r="52" spans="1:1" x14ac:dyDescent="0.35">
      <c r="A52" s="25"/>
    </row>
  </sheetData>
  <mergeCells count="45">
    <mergeCell ref="B12:D12"/>
    <mergeCell ref="B36:H36"/>
    <mergeCell ref="B37:H42"/>
    <mergeCell ref="E12:J12"/>
    <mergeCell ref="B9:D9"/>
    <mergeCell ref="E9:H9"/>
    <mergeCell ref="E13:J13"/>
    <mergeCell ref="B14:J14"/>
    <mergeCell ref="B19:J19"/>
    <mergeCell ref="B20:J21"/>
    <mergeCell ref="B22:J22"/>
    <mergeCell ref="B24:G24"/>
    <mergeCell ref="B18:D18"/>
    <mergeCell ref="B13:D13"/>
    <mergeCell ref="H24:H25"/>
    <mergeCell ref="B33:G33"/>
    <mergeCell ref="B4:J4"/>
    <mergeCell ref="B5:J5"/>
    <mergeCell ref="I7:J7"/>
    <mergeCell ref="I10:J10"/>
    <mergeCell ref="B11:J11"/>
    <mergeCell ref="B7:D7"/>
    <mergeCell ref="B10:D10"/>
    <mergeCell ref="E7:H7"/>
    <mergeCell ref="E10:H10"/>
    <mergeCell ref="E6:H6"/>
    <mergeCell ref="B6:D6"/>
    <mergeCell ref="I6:J6"/>
    <mergeCell ref="I9:J9"/>
    <mergeCell ref="H32:H33"/>
    <mergeCell ref="H34:H35"/>
    <mergeCell ref="B30:G30"/>
    <mergeCell ref="B26:G26"/>
    <mergeCell ref="B28:G28"/>
    <mergeCell ref="B32:G32"/>
    <mergeCell ref="B34:G34"/>
    <mergeCell ref="B35:G35"/>
    <mergeCell ref="B23:H23"/>
    <mergeCell ref="B25:G25"/>
    <mergeCell ref="B27:G27"/>
    <mergeCell ref="B29:G29"/>
    <mergeCell ref="B31:G31"/>
    <mergeCell ref="H26:H27"/>
    <mergeCell ref="H28:H29"/>
    <mergeCell ref="H30:H31"/>
  </mergeCells>
  <phoneticPr fontId="17" type="noConversion"/>
  <conditionalFormatting sqref="B10">
    <cfRule type="expression" dxfId="9" priority="3" stopIfTrue="1">
      <formula>($B$10="")</formula>
    </cfRule>
  </conditionalFormatting>
  <conditionalFormatting sqref="B13">
    <cfRule type="expression" dxfId="8" priority="7" stopIfTrue="1">
      <formula>($B$13="")</formula>
    </cfRule>
  </conditionalFormatting>
  <conditionalFormatting sqref="B7:D7">
    <cfRule type="expression" dxfId="7" priority="13" stopIfTrue="1">
      <formula>($B$7="")</formula>
    </cfRule>
  </conditionalFormatting>
  <conditionalFormatting sqref="B37:H42">
    <cfRule type="expression" dxfId="6" priority="5" stopIfTrue="1">
      <formula>$B$36="Goe Justification"</formula>
    </cfRule>
    <cfRule type="expression" dxfId="5" priority="6" stopIfTrue="1">
      <formula>$B$36=""</formula>
    </cfRule>
  </conditionalFormatting>
  <conditionalFormatting sqref="B5:J5">
    <cfRule type="expression" dxfId="4" priority="14" stopIfTrue="1">
      <formula>($B$5="")</formula>
    </cfRule>
  </conditionalFormatting>
  <conditionalFormatting sqref="E7">
    <cfRule type="expression" dxfId="3" priority="4" stopIfTrue="1">
      <formula>($E$7="")</formula>
    </cfRule>
  </conditionalFormatting>
  <conditionalFormatting sqref="E10">
    <cfRule type="expression" dxfId="2" priority="2" stopIfTrue="1">
      <formula>($E$10="")</formula>
    </cfRule>
  </conditionalFormatting>
  <conditionalFormatting sqref="E13:J13">
    <cfRule type="expression" dxfId="1" priority="15" stopIfTrue="1">
      <formula>($B$13="RTD Available")</formula>
    </cfRule>
  </conditionalFormatting>
  <conditionalFormatting sqref="I10">
    <cfRule type="expression" dxfId="0" priority="1" stopIfTrue="1">
      <formula>($I$10="")</formula>
    </cfRule>
  </conditionalFormatting>
  <dataValidations count="7">
    <dataValidation type="whole" errorStyle="warning" operator="greaterThan" showInputMessage="1" showErrorMessage="1" error="Please review if Passport Agreement Number is correct" sqref="I7:J7" xr:uid="{00000000-0002-0000-0100-000000000000}">
      <formula1>0</formula1>
    </dataValidation>
    <dataValidation type="whole" errorStyle="warning" operator="greaterThan" allowBlank="1" showInputMessage="1" showErrorMessage="1" error="Please review if Site Number is correct" sqref="E7 I10:J10" xr:uid="{00000000-0002-0000-0100-000001000000}">
      <formula1>0</formula1>
    </dataValidation>
    <dataValidation type="list" showInputMessage="1" showErrorMessage="1" prompt="Select Yes/No" sqref="H24 H26 H28 H30 H32 H34" xr:uid="{00000000-0002-0000-0100-000002000000}">
      <formula1>$T$2:$T$3</formula1>
    </dataValidation>
    <dataValidation type="list" allowBlank="1" showInputMessage="1" showErrorMessage="1" prompt="Select Yes/No" sqref="J25 J27 J29 J31 J33" xr:uid="{00000000-0002-0000-0100-000003000000}">
      <formula1>$T$2:$T$3</formula1>
    </dataValidation>
    <dataValidation type="list" allowBlank="1" showInputMessage="1" showErrorMessage="1" prompt="Select Value" sqref="B13:D13" xr:uid="{00000000-0002-0000-0100-000004000000}">
      <formula1>$U$2:$U$3</formula1>
    </dataValidation>
    <dataValidation type="list" allowBlank="1" showInputMessage="1" showErrorMessage="1" prompt="Select Value" sqref="B5:J5" xr:uid="{00000000-0002-0000-0100-000005000000}">
      <formula1>"Argentina,Bolívia,Belize,Chile,Colombia,Costa Rica,República Dominicana,Ecuador,Guatemala,Honduras,Mexico,Panama,Peru,Paraguai,El Salvador,Uruguai,Venezuela,Nicaragua"</formula1>
    </dataValidation>
    <dataValidation type="whole" errorStyle="warning" operator="greaterThan" allowBlank="1" showInputMessage="1" showErrorMessage="1" error="Please review if RTD Number is correct" sqref="E13:J13" xr:uid="{00000000-0002-0000-0100-000006000000}">
      <formula1>0</formula1>
    </dataValidation>
  </dataValidations>
  <pageMargins left="0.5" right="0.58333333333333337" top="0.5" bottom="0.5" header="0" footer="0"/>
  <pageSetup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7B2A44C3ABB1488E24B51AAEB1352B" ma:contentTypeVersion="19" ma:contentTypeDescription="Create a new document." ma:contentTypeScope="" ma:versionID="b32a147584aa9aceaec1c98157d9289f">
  <xsd:schema xmlns:xsd="http://www.w3.org/2001/XMLSchema" xmlns:xs="http://www.w3.org/2001/XMLSchema" xmlns:p="http://schemas.microsoft.com/office/2006/metadata/properties" xmlns:ns2="c3807a75-6ee4-4523-b92e-731166d9cb2b" xmlns:ns3="124ba7d5-f408-46c2-bae5-20b1e0bfe361" targetNamespace="http://schemas.microsoft.com/office/2006/metadata/properties" ma:root="true" ma:fieldsID="5088d832107dc36c41acc11731adefc4" ns2:_="" ns3:_="">
    <xsd:import namespace="c3807a75-6ee4-4523-b92e-731166d9cb2b"/>
    <xsd:import namespace="124ba7d5-f408-46c2-bae5-20b1e0bfe36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07a75-6ee4-4523-b92e-731166d9cb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db4ddee-5e58-4560-99ef-1c84dade78cb"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4ba7d5-f408-46c2-bae5-20b1e0bfe36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af84cf0-8fc7-409f-84a8-164ea82fbed2}" ma:internalName="TaxCatchAll" ma:showField="CatchAllData" ma:web="124ba7d5-f408-46c2-bae5-20b1e0bfe3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24ba7d5-f408-46c2-bae5-20b1e0bfe361" xsi:nil="true"/>
    <lcf76f155ced4ddcb4097134ff3c332f xmlns="c3807a75-6ee4-4523-b92e-731166d9cb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BE6789-C3DA-4848-8DC7-3ADCB74EC2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807a75-6ee4-4523-b92e-731166d9cb2b"/>
    <ds:schemaRef ds:uri="124ba7d5-f408-46c2-bae5-20b1e0bfe3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B5B970-55F7-4DDD-BD2D-767F21B88732}">
  <ds:schemaRefs>
    <ds:schemaRef ds:uri="http://schemas.microsoft.com/sharepoint/v3/contenttype/forms"/>
  </ds:schemaRefs>
</ds:datastoreItem>
</file>

<file path=customXml/itemProps3.xml><?xml version="1.0" encoding="utf-8"?>
<ds:datastoreItem xmlns:ds="http://schemas.openxmlformats.org/officeDocument/2006/customXml" ds:itemID="{C8E617C6-E5BE-494D-9DB9-E1FFE1276BA0}">
  <ds:schemaRefs>
    <ds:schemaRef ds:uri="http://schemas.microsoft.com/office/2006/metadata/properties"/>
    <ds:schemaRef ds:uri="http://schemas.microsoft.com/office/infopath/2007/PartnerControls"/>
    <ds:schemaRef ds:uri="124ba7d5-f408-46c2-bae5-20b1e0bfe361"/>
    <ds:schemaRef ds:uri="c3807a75-6ee4-4523-b92e-731166d9cb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SBid </vt:lpstr>
      <vt:lpstr>Factsheet</vt:lpstr>
      <vt:lpst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Riquelme, Marcelo</dc:creator>
  <cp:lastModifiedBy>Pabon, Silvia</cp:lastModifiedBy>
  <dcterms:created xsi:type="dcterms:W3CDTF">2011-10-27T19:07:15Z</dcterms:created>
  <dcterms:modified xsi:type="dcterms:W3CDTF">2026-04-20T21:11:33Z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0x010100507B2A44C3ABB1488E24B51AAEB1352B</vt:lpwstr>
  </property>
  <property fmtid="{D5CDD505-2E9C-101B-9397-08002B2CF9AE}" pid="3" name="MediaServiceImageTags">
    <vt:lpwstr/>
  </property>
</Properties>
</file>